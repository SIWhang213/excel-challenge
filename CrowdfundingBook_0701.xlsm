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hsi\data_analysis공부\UPENN_Boot_Camp\Module 1\01-Excel\Challenge\"/>
    </mc:Choice>
  </mc:AlternateContent>
  <xr:revisionPtr revIDLastSave="0" documentId="13_ncr:1_{EB7490FE-D318-4A59-BDFB-6A1C16DC5511}" xr6:coauthVersionLast="47" xr6:coauthVersionMax="47" xr10:uidLastSave="{00000000-0000-0000-0000-000000000000}"/>
  <bookViews>
    <workbookView xWindow="-28920" yWindow="1260" windowWidth="29040" windowHeight="15720" firstSheet="1" activeTab="1" xr2:uid="{00000000-000D-0000-FFFF-FFFF00000000}"/>
  </bookViews>
  <sheets>
    <sheet name="Crowdfunding" sheetId="1" r:id="rId1"/>
    <sheet name="based on parent category" sheetId="2" r:id="rId2"/>
    <sheet name="based on sub-category" sheetId="3" r:id="rId3"/>
    <sheet name="based on country" sheetId="12" r:id="rId4"/>
    <sheet name="based on date" sheetId="6" r:id="rId5"/>
    <sheet name="Crowdfunding Goal Analysis" sheetId="7" r:id="rId6"/>
    <sheet name="Statistical Analysis" sheetId="13" r:id="rId7"/>
  </sheets>
  <definedNames>
    <definedName name="_xlnm._FilterDatabase" localSheetId="0" hidden="1">Crowdfunding!$A$1:$T$1</definedName>
    <definedName name="backers_count">Crowdfunding!$H:$H</definedName>
    <definedName name="backers_count_fail">#REF!</definedName>
    <definedName name="backers_count_succ">#REF!</definedName>
    <definedName name="backers_fail">'Statistical Analysis'!$E:$E</definedName>
    <definedName name="backers_success">'Statistical Analysis'!$B:$B</definedName>
    <definedName name="goal">Crowdfunding!$D:$D</definedName>
    <definedName name="outcome">Crowdfunding!$G:$G</definedName>
  </definedNames>
  <calcPr calcId="191029" concurrentCalc="0"/>
  <pivotCaches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3" l="1"/>
  <c r="J9" i="13"/>
  <c r="J8" i="13"/>
  <c r="J7" i="13"/>
  <c r="J6" i="13"/>
  <c r="J5" i="13"/>
  <c r="J4" i="13"/>
  <c r="I9" i="13"/>
  <c r="I7" i="13"/>
  <c r="I6" i="13"/>
  <c r="I5" i="13"/>
  <c r="I4" i="13"/>
  <c r="H3" i="7"/>
  <c r="H4" i="7"/>
  <c r="H5" i="7"/>
  <c r="H6" i="7"/>
  <c r="H7" i="7"/>
  <c r="H8" i="7"/>
  <c r="H9" i="7"/>
  <c r="H10" i="7"/>
  <c r="H11" i="7"/>
  <c r="H12" i="7"/>
  <c r="H13" i="7"/>
  <c r="H2" i="7"/>
  <c r="G3" i="7"/>
  <c r="G4" i="7"/>
  <c r="G5" i="7"/>
  <c r="G6" i="7"/>
  <c r="G7" i="7"/>
  <c r="G8" i="7"/>
  <c r="G9" i="7"/>
  <c r="G10" i="7"/>
  <c r="G11" i="7"/>
  <c r="G12" i="7"/>
  <c r="G13" i="7"/>
  <c r="G2" i="7"/>
  <c r="F3" i="7"/>
  <c r="F4" i="7"/>
  <c r="F5" i="7"/>
  <c r="F6" i="7"/>
  <c r="F7" i="7"/>
  <c r="F8" i="7"/>
  <c r="F9" i="7"/>
  <c r="F10" i="7"/>
  <c r="F11" i="7"/>
  <c r="F12" i="7"/>
  <c r="F13" i="7"/>
  <c r="F2" i="7"/>
  <c r="E3" i="7"/>
  <c r="E4" i="7"/>
  <c r="E5" i="7"/>
  <c r="E6" i="7"/>
  <c r="E7" i="7"/>
  <c r="E8" i="7"/>
  <c r="E9" i="7"/>
  <c r="E10" i="7"/>
  <c r="E11" i="7"/>
  <c r="E12" i="7"/>
  <c r="E13" i="7"/>
  <c r="E2" i="7"/>
  <c r="C7" i="7"/>
  <c r="C6" i="7"/>
  <c r="D13" i="7"/>
  <c r="D12" i="7"/>
  <c r="D11" i="7"/>
  <c r="D10" i="7"/>
  <c r="D9" i="7"/>
  <c r="D8" i="7"/>
  <c r="D7" i="7"/>
  <c r="D6" i="7"/>
  <c r="D5" i="7"/>
  <c r="D4" i="7"/>
  <c r="D3" i="7"/>
  <c r="D2" i="7"/>
  <c r="C13" i="7"/>
  <c r="C12" i="7"/>
  <c r="C11" i="7"/>
  <c r="C10" i="7"/>
  <c r="C9" i="7"/>
  <c r="C8" i="7"/>
  <c r="C2" i="7"/>
  <c r="C5" i="7"/>
  <c r="B5" i="7"/>
  <c r="B6" i="7"/>
  <c r="C4" i="7"/>
  <c r="C3" i="7"/>
  <c r="B13" i="7"/>
  <c r="B12" i="7"/>
  <c r="B11" i="7"/>
  <c r="B10" i="7"/>
  <c r="B9" i="7"/>
  <c r="B8" i="7"/>
  <c r="B7" i="7"/>
  <c r="B4" i="7"/>
  <c r="B3" i="7"/>
  <c r="B2" i="7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4" i="1"/>
  <c r="F5" i="1"/>
  <c r="F6" i="1"/>
  <c r="F7" i="1"/>
  <c r="F8" i="1"/>
  <c r="F9" i="1"/>
  <c r="F10" i="1"/>
  <c r="F11" i="1"/>
  <c r="F12" i="1"/>
  <c r="F13" i="1"/>
  <c r="F3" i="1"/>
  <c r="F2" i="1"/>
</calcChain>
</file>

<file path=xl/sharedStrings.xml><?xml version="1.0" encoding="utf-8"?>
<sst xmlns="http://schemas.openxmlformats.org/spreadsheetml/2006/main" count="9077" uniqueCount="2117">
  <si>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</si>
  <si>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</si>
  <si>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</si>
  <si>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</si>
  <si>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</si>
  <si>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</si>
  <si>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</si>
  <si>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</si>
  <si>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</si>
  <si>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</si>
  <si>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</si>
  <si>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</si>
  <si>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</si>
  <si>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</si>
  <si>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</si>
  <si>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</si>
  <si>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</si>
  <si>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</si>
  <si>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</si>
  <si>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</si>
  <si>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</si>
  <si>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</si>
  <si>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</si>
  <si>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</si>
  <si>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</si>
  <si>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</si>
  <si>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</si>
  <si>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</si>
  <si>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</si>
  <si>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</si>
  <si>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</si>
  <si>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</si>
  <si>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</si>
  <si>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</si>
  <si>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</si>
  <si>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</si>
  <si>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</si>
  <si>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</si>
  <si>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</si>
  <si>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</si>
  <si>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</si>
  <si>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</si>
  <si>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</si>
  <si>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</si>
  <si>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</si>
  <si>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</si>
  <si>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</si>
  <si>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</si>
  <si>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</si>
  <si>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</si>
  <si>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</si>
  <si>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</si>
  <si>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</si>
  <si>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</si>
  <si>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</si>
  <si>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</si>
  <si>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</si>
  <si>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</si>
  <si>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</si>
  <si>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</si>
  <si>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</si>
  <si>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</si>
  <si>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</si>
  <si>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</si>
  <si>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</si>
  <si>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</si>
  <si>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</si>
  <si>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</si>
  <si>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</si>
  <si>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</si>
  <si>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</si>
  <si>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</si>
  <si>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</si>
  <si>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</si>
  <si>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</si>
  <si>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</si>
  <si>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</si>
  <si>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</si>
  <si>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</si>
  <si>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</si>
  <si>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</si>
  <si>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</si>
  <si>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</si>
  <si>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</si>
  <si>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</si>
  <si>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</si>
  <si>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</si>
  <si>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</si>
  <si>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</si>
  <si>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</si>
  <si>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</si>
  <si>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</si>
  <si>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</si>
  <si>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</si>
  <si>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</si>
  <si>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</si>
  <si>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</si>
  <si>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</si>
  <si>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</si>
  <si>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</si>
  <si>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</si>
  <si>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</si>
  <si>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</si>
  <si>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</si>
  <si>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</si>
  <si>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</si>
  <si>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</si>
  <si>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</si>
  <si>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</si>
  <si>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</si>
  <si>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</si>
  <si>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</si>
  <si>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</si>
  <si>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</si>
  <si>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</si>
  <si>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</si>
  <si>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</si>
  <si>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</si>
  <si>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</si>
  <si>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</si>
  <si>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</si>
  <si>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</si>
  <si>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</si>
  <si>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</si>
  <si>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</si>
  <si>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</si>
  <si>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</si>
  <si>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</si>
  <si>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</si>
  <si>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</si>
  <si>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</si>
  <si>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</si>
  <si>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</si>
  <si>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</si>
  <si>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</si>
  <si>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</si>
  <si>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</si>
  <si>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</si>
  <si>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</si>
  <si>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</si>
  <si>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</si>
  <si>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</si>
  <si>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</si>
  <si>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</si>
  <si>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</si>
  <si>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</si>
  <si>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</si>
  <si>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</si>
  <si>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</si>
  <si>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</si>
  <si>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</si>
  <si>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</si>
  <si>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</si>
  <si>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</si>
  <si>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</si>
  <si>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</si>
  <si>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</si>
  <si>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</si>
  <si>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</si>
  <si>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</si>
  <si>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</si>
  <si>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</si>
  <si>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</si>
  <si>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</si>
  <si>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</si>
  <si>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</si>
  <si>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</si>
  <si>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</si>
  <si>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</si>
  <si>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</si>
  <si>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</si>
  <si>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</si>
  <si>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</si>
  <si>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</si>
  <si>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</si>
  <si>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</si>
  <si>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</si>
  <si>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</si>
  <si>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</si>
  <si>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</si>
  <si>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</si>
  <si>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</si>
  <si>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</si>
  <si>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</si>
  <si>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</si>
  <si>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</si>
  <si>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</si>
  <si>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</si>
  <si>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</si>
  <si>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</si>
  <si>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</si>
  <si>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</si>
  <si>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</si>
  <si>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</si>
  <si>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</si>
  <si>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</si>
  <si>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</si>
  <si>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</si>
  <si>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</si>
  <si>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</si>
  <si>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</si>
  <si>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</si>
  <si>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</si>
  <si>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</si>
  <si>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</si>
  <si>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</si>
  <si>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</si>
  <si>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</si>
  <si>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</si>
  <si>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</si>
  <si>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</si>
  <si>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</si>
  <si>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</si>
  <si>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</si>
  <si>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</si>
  <si>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</si>
  <si>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</si>
  <si>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</si>
  <si>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</si>
  <si>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</si>
  <si>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</si>
  <si>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</si>
  <si>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</si>
  <si>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</si>
  <si>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</si>
  <si>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</si>
  <si>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</si>
  <si>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</si>
  <si>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</si>
  <si>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</si>
  <si>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</si>
  <si>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</si>
  <si>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</si>
  <si>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</si>
  <si>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</si>
  <si>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</si>
  <si>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</si>
  <si>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</si>
  <si>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</si>
  <si>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</si>
  <si>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</si>
  <si>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</si>
  <si>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</si>
  <si>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</si>
  <si>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</si>
  <si>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</si>
  <si>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</si>
  <si>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</si>
  <si>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</si>
  <si>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</si>
  <si>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</si>
  <si>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</si>
  <si>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</si>
  <si>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</si>
  <si>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</si>
  <si>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</si>
  <si>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</si>
  <si>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</si>
  <si>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</si>
  <si>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</si>
  <si>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</si>
  <si>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</si>
  <si>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</si>
  <si>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</si>
  <si>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</si>
  <si>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</si>
  <si>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</si>
  <si>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</si>
  <si>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</si>
  <si>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</si>
  <si>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</si>
  <si>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</si>
  <si>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</si>
  <si>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</si>
  <si>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</si>
  <si>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</si>
  <si>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</si>
  <si>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</si>
  <si>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</si>
  <si>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</si>
  <si>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</si>
  <si>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</si>
  <si>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</si>
  <si>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</si>
  <si>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</si>
  <si>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</si>
  <si>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</si>
  <si>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</si>
  <si>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</si>
  <si>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</si>
  <si>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</si>
  <si>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</si>
  <si>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</si>
  <si>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</si>
  <si>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</si>
  <si>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</si>
  <si>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</si>
  <si>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</si>
  <si>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</si>
  <si>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</si>
  <si>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</si>
  <si>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</si>
  <si>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</si>
  <si>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</si>
  <si>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</si>
  <si>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</si>
  <si>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</si>
  <si>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</si>
  <si>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</si>
  <si>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</si>
  <si>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</si>
  <si>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</si>
  <si>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</si>
  <si>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</si>
  <si>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</si>
  <si>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</si>
  <si>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</si>
  <si>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</si>
  <si>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</si>
  <si>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</si>
  <si>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</si>
  <si>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</si>
  <si>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</si>
  <si>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</si>
  <si>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</si>
  <si>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</si>
  <si>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</si>
  <si>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</si>
  <si>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</si>
  <si>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</si>
  <si>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</si>
  <si>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</si>
  <si>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</si>
  <si>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</si>
  <si>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</si>
  <si>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</si>
  <si>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</si>
  <si>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</si>
  <si>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</si>
  <si>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</si>
  <si>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</si>
  <si>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</si>
  <si>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</si>
  <si>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</si>
  <si>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</si>
  <si>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</si>
  <si>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</si>
  <si>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</si>
  <si>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</si>
  <si>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</si>
  <si>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</si>
  <si>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</si>
  <si>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</si>
  <si>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</si>
  <si>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</si>
  <si>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</si>
  <si>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</si>
  <si>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</si>
  <si>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</si>
  <si>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</si>
  <si>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</si>
  <si>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</si>
  <si>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</si>
  <si>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</si>
  <si>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</si>
  <si>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</si>
  <si>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</si>
  <si>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</si>
  <si>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</si>
  <si>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</si>
  <si>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</si>
  <si>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</si>
  <si>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</si>
  <si>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</si>
  <si>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</si>
  <si>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</si>
  <si>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</si>
  <si>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</si>
  <si>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</si>
  <si>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</si>
  <si>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</si>
  <si>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</si>
  <si>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</si>
  <si>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</si>
  <si>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</si>
  <si>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</si>
  <si>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</si>
  <si>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</si>
  <si>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</si>
  <si>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</si>
  <si>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</si>
  <si>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</si>
  <si>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</si>
  <si>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</si>
  <si>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</si>
  <si>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</si>
  <si>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</si>
  <si>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</si>
  <si>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</si>
  <si>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</si>
  <si>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</si>
  <si>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</si>
  <si>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</si>
  <si>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</si>
  <si>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</si>
  <si>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</si>
  <si>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</si>
  <si>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</si>
  <si>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</si>
  <si>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</si>
  <si>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</si>
  <si>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</si>
  <si>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</si>
  <si>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</si>
  <si>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</si>
  <si>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</si>
  <si>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</si>
  <si>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</si>
  <si>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</si>
  <si>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</si>
  <si>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</si>
  <si>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</si>
  <si>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</si>
  <si>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</si>
  <si>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</si>
  <si>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</si>
  <si>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</si>
  <si>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</si>
  <si>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</si>
  <si>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</si>
  <si>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</si>
  <si>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</si>
  <si>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</si>
  <si>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</si>
  <si>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</si>
  <si>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</si>
  <si>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</si>
  <si>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</si>
  <si>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</si>
  <si>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</si>
  <si>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</si>
  <si>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</si>
  <si>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</si>
  <si>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</si>
  <si>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</si>
  <si>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</si>
  <si>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</si>
  <si>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</si>
  <si>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</si>
  <si>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</si>
  <si>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</si>
  <si>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</si>
  <si>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</si>
  <si>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</si>
  <si>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</si>
  <si>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</si>
  <si>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</si>
  <si>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</si>
  <si>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</si>
  <si>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</si>
  <si>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</si>
  <si>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</si>
  <si>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</si>
  <si>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</si>
  <si>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</si>
  <si>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</si>
  <si>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</si>
  <si>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</si>
  <si>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</si>
  <si>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</si>
  <si>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</si>
  <si>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</si>
  <si>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</si>
  <si>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</si>
  <si>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</si>
  <si>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</si>
  <si>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</si>
  <si>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</si>
  <si>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</si>
  <si>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</si>
  <si>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</si>
  <si>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</si>
  <si>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</si>
  <si>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</si>
  <si>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</si>
  <si>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</si>
  <si>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</si>
  <si>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</si>
  <si>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</si>
  <si>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</si>
  <si>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</si>
  <si>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</si>
  <si>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</si>
  <si>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</si>
  <si>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</si>
  <si>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</si>
  <si>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</si>
  <si>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</si>
  <si>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</si>
  <si>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</si>
  <si>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</si>
  <si>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</si>
  <si>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</si>
  <si>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</si>
  <si>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</si>
  <si>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</si>
  <si>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</si>
  <si>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</si>
  <si>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</si>
  <si>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</si>
  <si>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</si>
  <si>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</si>
  <si>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</si>
  <si>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</si>
  <si>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</si>
  <si>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</si>
  <si>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</si>
  <si>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</si>
  <si>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</si>
  <si>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</si>
  <si>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</si>
  <si>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</si>
  <si>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</si>
  <si>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</si>
  <si>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</si>
  <si>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</si>
  <si>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</si>
  <si>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</si>
  <si>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</si>
  <si>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</si>
  <si>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</si>
  <si>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</si>
  <si>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</si>
  <si>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</si>
  <si>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</si>
  <si>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</si>
  <si>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</si>
  <si>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</si>
  <si>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</si>
  <si>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</si>
  <si>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</si>
  <si>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</si>
  <si>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</si>
  <si>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</si>
  <si>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</si>
  <si>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</si>
  <si>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</si>
  <si>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</si>
  <si>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</si>
  <si>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</si>
  <si>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</si>
  <si>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</si>
  <si>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</si>
  <si>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</si>
  <si>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</si>
  <si>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</si>
  <si>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</si>
  <si>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</si>
  <si>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</si>
  <si>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</si>
  <si>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</si>
  <si>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</si>
  <si>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</si>
  <si>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</si>
  <si>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</si>
  <si>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</si>
  <si>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</si>
  <si>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</si>
  <si>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</si>
  <si>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</si>
  <si>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</si>
  <si>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</si>
  <si>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</si>
  <si>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</si>
  <si>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</si>
  <si>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</si>
  <si>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</si>
  <si>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</si>
  <si>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</si>
  <si>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</si>
  <si>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</si>
  <si>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</si>
  <si>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</si>
  <si>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</si>
  <si>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</si>
  <si>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</si>
  <si>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</si>
  <si>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</si>
  <si>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</si>
  <si>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</si>
  <si>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</si>
  <si>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</si>
  <si>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</si>
  <si>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</si>
  <si>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</si>
  <si>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</si>
  <si>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</si>
  <si>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</si>
  <si>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</si>
  <si>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</si>
  <si>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</si>
  <si>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</si>
  <si>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</si>
  <si>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</si>
  <si>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</si>
  <si>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</si>
  <si>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</si>
  <si>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</si>
  <si>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</si>
  <si>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</si>
  <si>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</si>
  <si>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</si>
  <si>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</si>
  <si>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</si>
  <si>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</si>
  <si>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</si>
  <si>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</si>
  <si>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</si>
  <si>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</si>
  <si>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</si>
  <si>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</si>
  <si>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</si>
  <si>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</si>
  <si>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</si>
  <si>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</si>
  <si>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</si>
  <si>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</si>
  <si>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</si>
  <si>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</si>
  <si>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</si>
  <si>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</si>
  <si>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</si>
  <si>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</si>
  <si>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</si>
  <si>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</si>
  <si>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</si>
  <si>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</si>
  <si>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</si>
  <si>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</si>
  <si>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</si>
  <si>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</si>
  <si>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</si>
  <si>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</si>
  <si>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</si>
  <si>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</si>
  <si>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</si>
  <si>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</si>
  <si>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</si>
  <si>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</si>
  <si>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</si>
  <si>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</si>
  <si>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</si>
  <si>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</si>
  <si>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</si>
  <si>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</si>
  <si>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</si>
  <si>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</si>
  <si>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</si>
  <si>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</si>
  <si>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</si>
  <si>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</si>
  <si>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</si>
  <si>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</si>
  <si>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</si>
  <si>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</si>
  <si>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</si>
  <si>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</si>
  <si>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</si>
  <si>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</si>
  <si>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</si>
  <si>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</si>
  <si>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</si>
  <si>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</si>
  <si>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</si>
  <si>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</si>
  <si>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</si>
  <si>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</si>
  <si>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</si>
  <si>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</si>
  <si>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</si>
  <si>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</si>
  <si>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</si>
  <si>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</si>
  <si>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</si>
  <si>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</si>
  <si>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</si>
  <si>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</si>
  <si>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</si>
  <si>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</si>
  <si>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</si>
  <si>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</si>
  <si>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</si>
  <si>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</si>
  <si>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</si>
  <si>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</si>
  <si>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</si>
  <si>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</si>
  <si>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</si>
  <si>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</si>
  <si>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</si>
  <si>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</si>
  <si>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</si>
  <si>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</si>
  <si>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</si>
  <si>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</si>
  <si>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</si>
  <si>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</si>
  <si>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</si>
  <si>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</si>
  <si>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</si>
  <si>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</si>
  <si>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</si>
  <si>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</si>
  <si>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</si>
  <si>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</si>
  <si>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</si>
  <si>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</si>
  <si>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</si>
  <si>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</si>
  <si>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</si>
  <si>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</si>
  <si>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</si>
  <si>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</si>
  <si>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</si>
  <si>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</si>
  <si>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</si>
  <si>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</si>
  <si>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</si>
  <si>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</si>
  <si>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</si>
  <si>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</si>
  <si>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</si>
  <si>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</si>
  <si>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</si>
  <si>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</si>
  <si>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</si>
  <si>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</si>
  <si>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</si>
  <si>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</si>
  <si>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</si>
  <si>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</si>
  <si>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</si>
  <si>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</si>
  <si>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</si>
  <si>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</si>
  <si>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</si>
  <si>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</si>
  <si>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</si>
  <si>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</si>
  <si>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</si>
  <si>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</si>
  <si>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</si>
  <si>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</si>
  <si>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</si>
  <si>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</si>
  <si>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</si>
  <si>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</si>
  <si>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</si>
  <si>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</si>
  <si>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</si>
  <si>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</si>
  <si>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</si>
  <si>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</si>
  <si>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</si>
  <si>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</si>
  <si>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</si>
  <si>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</si>
  <si>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</si>
  <si>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</si>
  <si>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</si>
  <si>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</si>
  <si>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</si>
  <si>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</si>
  <si>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</si>
  <si>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</si>
  <si>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</si>
  <si>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</si>
  <si>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</si>
  <si>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</si>
  <si>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</si>
  <si>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</si>
  <si>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</si>
  <si>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</si>
  <si>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</si>
  <si>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</si>
  <si>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</si>
  <si>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</si>
  <si>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</si>
  <si>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</si>
  <si>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</si>
  <si>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</si>
  <si>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</si>
  <si>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</si>
  <si>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</si>
  <si>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</si>
  <si>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</si>
  <si>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</si>
  <si>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</si>
  <si>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</si>
  <si>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</si>
  <si>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</si>
  <si>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</si>
  <si>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</si>
  <si>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</si>
  <si>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</si>
  <si>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</si>
  <si>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</si>
  <si>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</si>
  <si>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</si>
  <si>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</si>
  <si>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</si>
  <si>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</si>
  <si>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</si>
  <si>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</si>
  <si>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</si>
  <si>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</si>
  <si>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</si>
  <si>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</si>
  <si>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</si>
  <si>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</si>
  <si>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</si>
  <si>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</si>
  <si>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</si>
  <si>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</si>
  <si>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</si>
  <si>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</si>
  <si>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</si>
  <si>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</si>
  <si>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</si>
  <si>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</si>
  <si>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</si>
  <si>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</si>
  <si>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</si>
  <si>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</si>
  <si>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</si>
  <si>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</si>
  <si>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</si>
  <si>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</si>
  <si>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</si>
  <si>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</si>
  <si>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</si>
  <si>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</si>
  <si>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</si>
  <si>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</si>
  <si>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</si>
  <si>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</si>
  <si>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</si>
  <si>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</si>
  <si>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</si>
  <si>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</si>
  <si>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</si>
  <si>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</si>
  <si>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</si>
  <si>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</si>
  <si>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</si>
  <si>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</si>
  <si>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</si>
  <si>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</si>
  <si>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</si>
  <si>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</si>
  <si>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</si>
  <si>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</si>
  <si>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</si>
  <si>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</si>
  <si>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</si>
  <si>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</si>
  <si>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</si>
  <si>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</si>
  <si>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</si>
  <si>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</si>
  <si>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</si>
  <si>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</si>
  <si>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</si>
  <si>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</si>
  <si>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</si>
  <si>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</si>
  <si>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</si>
  <si>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</si>
  <si>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</si>
  <si>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</si>
  <si>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</si>
  <si>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</si>
  <si>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</si>
  <si>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</si>
  <si>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</si>
  <si>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</si>
  <si>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</si>
  <si>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</si>
  <si>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</si>
  <si>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</si>
  <si>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</si>
  <si>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</si>
  <si>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</si>
  <si>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</si>
  <si>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</si>
  <si>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</si>
  <si>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</si>
  <si>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</si>
  <si>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</si>
  <si>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</si>
  <si>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</si>
  <si>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</si>
  <si>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</si>
  <si>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</si>
  <si>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</si>
  <si>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</si>
  <si>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</si>
  <si>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</si>
  <si>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</si>
  <si>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</si>
  <si>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</si>
  <si>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</si>
  <si>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</si>
  <si>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</si>
  <si>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</si>
  <si>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</si>
  <si>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</si>
  <si>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</si>
  <si>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</si>
  <si>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</si>
  <si>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</si>
  <si>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</si>
  <si>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</si>
  <si>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</si>
  <si>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</si>
  <si>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</si>
  <si>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</si>
  <si>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</si>
  <si>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</si>
  <si>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</si>
  <si>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</si>
  <si>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</si>
  <si>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</si>
  <si>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</si>
  <si>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</si>
  <si>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</si>
  <si>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</si>
  <si>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</si>
  <si>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</si>
  <si>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</si>
  <si>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</si>
  <si>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</si>
  <si>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</si>
  <si>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</si>
  <si>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</si>
  <si>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</si>
  <si>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</si>
  <si>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</si>
  <si>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</si>
  <si>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</si>
  <si>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</si>
  <si>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</si>
  <si>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</si>
  <si>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</si>
  <si>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</si>
  <si>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</si>
  <si>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</si>
  <si>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</si>
  <si>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</si>
  <si>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</si>
  <si>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</si>
  <si>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</si>
  <si>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</si>
  <si>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</si>
  <si>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</si>
  <si>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</si>
  <si>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</si>
  <si>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</si>
  <si>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</si>
  <si>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</si>
  <si>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</si>
  <si>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</si>
  <si>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</si>
  <si>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</si>
  <si>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</si>
  <si>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</si>
  <si>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</si>
  <si>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</si>
  <si>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</si>
  <si>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</si>
  <si>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</si>
  <si>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</si>
  <si>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</si>
  <si>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</si>
  <si>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</si>
  <si>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</si>
  <si>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</si>
  <si>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</si>
  <si>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</si>
  <si>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</si>
  <si>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</si>
  <si>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</si>
  <si>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</si>
  <si>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</si>
  <si>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</si>
  <si>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</si>
  <si>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</si>
  <si>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</si>
  <si>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</si>
  <si>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</si>
  <si>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</si>
  <si>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</si>
  <si>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</si>
  <si>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</si>
  <si>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</si>
  <si>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</si>
  <si>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</si>
  <si>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</si>
  <si>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</si>
  <si>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</si>
  <si>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</si>
  <si>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</si>
  <si>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</si>
  <si>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</si>
  <si>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</si>
  <si>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</si>
  <si>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</si>
  <si>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</si>
  <si>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</si>
  <si>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</si>
  <si>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</si>
  <si>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</si>
  <si>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</si>
  <si>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</si>
  <si>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</si>
  <si>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</si>
  <si>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</si>
  <si>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</si>
  <si>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</si>
  <si>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</si>
  <si>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</si>
  <si>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</si>
  <si>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</si>
  <si>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</si>
  <si>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</si>
  <si>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</si>
  <si>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</si>
  <si>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</si>
  <si>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</si>
  <si>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</si>
  <si>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</si>
  <si>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</si>
  <si>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</si>
  <si>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</si>
  <si>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</si>
  <si>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</si>
  <si>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</si>
  <si>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</si>
  <si>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</si>
  <si>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</si>
  <si>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</si>
  <si>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</si>
  <si>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</si>
  <si>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</si>
  <si>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</si>
  <si>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</si>
  <si>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</si>
  <si>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</si>
  <si>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</si>
  <si>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</si>
  <si>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</si>
  <si>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</si>
  <si>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</si>
  <si>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</si>
  <si>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</si>
  <si>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</si>
  <si>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</si>
  <si>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</si>
  <si>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</si>
  <si>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</si>
  <si>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</si>
  <si>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</si>
  <si>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</si>
  <si>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</si>
  <si>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</si>
  <si>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</si>
  <si>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</si>
  <si>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</si>
  <si>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</si>
  <si>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</si>
  <si>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</si>
  <si>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</si>
  <si>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</si>
  <si>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</si>
  <si>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</si>
  <si>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</si>
  <si>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</si>
  <si>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</si>
  <si>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</si>
  <si>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</si>
  <si>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</si>
  <si>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</si>
  <si>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</si>
  <si>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</si>
  <si>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</si>
  <si>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</si>
  <si>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</si>
  <si>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</si>
  <si>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</si>
  <si>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</si>
  <si>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</si>
  <si>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</si>
  <si>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</si>
  <si>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</si>
  <si>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</si>
  <si>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</si>
  <si>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</si>
  <si>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</si>
  <si>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</si>
  <si>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</si>
  <si>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</si>
  <si>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</si>
  <si>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</si>
  <si>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</si>
  <si>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</si>
  <si>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</si>
  <si>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</si>
  <si>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</si>
  <si>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</si>
  <si>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</si>
  <si>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</si>
  <si>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</si>
  <si>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</si>
  <si>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</si>
  <si>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</si>
  <si>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</si>
  <si>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</si>
  <si>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</si>
  <si>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</si>
  <si>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</si>
  <si>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</si>
  <si>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</si>
  <si>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</si>
  <si>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</si>
  <si>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</si>
  <si>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</si>
  <si>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</si>
  <si>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</si>
  <si>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</si>
  <si>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</si>
  <si>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</si>
  <si>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</si>
  <si>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</si>
  <si>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</si>
  <si>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</si>
  <si>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</si>
  <si>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</si>
  <si>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</si>
  <si>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</si>
  <si>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</si>
  <si>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</si>
  <si>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</si>
  <si>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</si>
  <si>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</si>
  <si>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</si>
  <si>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</si>
  <si>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</si>
  <si>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</si>
  <si>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</si>
  <si>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</si>
  <si>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</si>
  <si>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</si>
  <si>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</si>
  <si>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</si>
  <si>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</si>
  <si>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</si>
  <si>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</si>
  <si>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</si>
  <si>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</si>
  <si>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</si>
  <si>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</si>
  <si>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</si>
  <si>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</si>
  <si>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</si>
  <si>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</si>
  <si>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</si>
  <si>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</si>
  <si>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</si>
  <si>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</si>
  <si>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</si>
  <si>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</si>
  <si>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</si>
  <si>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</si>
  <si>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</si>
  <si>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</si>
  <si>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</si>
  <si>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</si>
  <si>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</si>
  <si>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</si>
  <si>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</si>
  <si>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</si>
  <si>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</si>
  <si>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</si>
  <si>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</si>
  <si>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</si>
  <si>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</si>
  <si>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</si>
  <si>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</si>
  <si>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</si>
  <si>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</si>
  <si>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</si>
  <si>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</si>
  <si>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</si>
  <si>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</si>
  <si>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</si>
  <si>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</si>
  <si>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</si>
  <si>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</si>
  <si>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</si>
  <si>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</si>
  <si>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</si>
  <si>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</si>
  <si>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</si>
  <si>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</si>
  <si>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</si>
  <si>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</si>
  <si>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</si>
  <si>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</si>
  <si>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</si>
  <si>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</si>
  <si>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</si>
  <si>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</si>
  <si>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</si>
  <si>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</si>
  <si>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</si>
  <si>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</si>
  <si>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</si>
  <si>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</si>
  <si>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</si>
  <si>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</si>
  <si>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</si>
  <si>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</si>
  <si>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</si>
  <si>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</si>
  <si>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</si>
  <si>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</si>
  <si>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</si>
  <si>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</si>
  <si>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</si>
  <si>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</si>
  <si>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</si>
  <si>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</si>
  <si>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</si>
  <si>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</si>
  <si>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</si>
  <si>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</si>
  <si>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</si>
  <si>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</si>
  <si>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</si>
  <si>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</si>
  <si>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</si>
  <si>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</si>
  <si>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</si>
  <si>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</si>
  <si>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</si>
  <si>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</si>
  <si>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</si>
  <si>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</si>
  <si>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</si>
  <si>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</si>
  <si>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</si>
  <si>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</si>
  <si>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</si>
  <si>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</si>
  <si>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</si>
  <si>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</si>
  <si>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</si>
  <si>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</si>
  <si>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</si>
  <si>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</si>
  <si>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</si>
  <si>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</si>
  <si>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</si>
  <si>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</si>
  <si>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</si>
  <si>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</si>
  <si>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</si>
  <si>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</si>
  <si>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</si>
  <si>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</si>
  <si>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</si>
  <si>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</si>
  <si>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</si>
  <si>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</si>
  <si>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</si>
  <si>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</si>
  <si>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</si>
  <si>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</si>
  <si>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</si>
  <si>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</si>
  <si>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</si>
  <si>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</si>
  <si>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</si>
  <si>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</si>
  <si>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</si>
  <si>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</si>
  <si>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</si>
  <si>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</si>
  <si>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</si>
  <si>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</si>
  <si>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</si>
  <si>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</si>
  <si>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</si>
  <si>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</si>
  <si>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</si>
  <si>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</si>
  <si>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</si>
  <si>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</si>
  <si>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</si>
  <si>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</si>
  <si>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</si>
  <si>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</si>
  <si>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</si>
  <si>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</si>
  <si>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</si>
  <si>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</si>
  <si>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</si>
  <si>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</si>
  <si>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</si>
  <si>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</si>
  <si>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</si>
  <si>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</si>
  <si>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</si>
  <si>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</si>
  <si>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</si>
  <si>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</si>
  <si>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</si>
  <si>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</si>
  <si>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</si>
  <si>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</si>
  <si>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</si>
  <si>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</si>
  <si>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</si>
  <si>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</si>
  <si>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</si>
  <si>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</si>
  <si>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</si>
  <si>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</si>
  <si>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</si>
  <si>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</si>
  <si>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</si>
  <si>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</si>
  <si>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</si>
  <si>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</si>
  <si>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</si>
  <si>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</si>
  <si>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</si>
  <si>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</si>
  <si>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</si>
  <si>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</si>
  <si>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</si>
  <si>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</si>
  <si>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</si>
  <si>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</si>
  <si>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</si>
  <si>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</si>
  <si>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</si>
  <si>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</si>
  <si>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</si>
  <si>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</si>
  <si>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</si>
  <si>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</si>
  <si>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</si>
  <si>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</si>
  <si>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</si>
  <si>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</si>
  <si>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</si>
  <si>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</si>
  <si>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</si>
  <si>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</si>
  <si>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</si>
  <si>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</si>
  <si>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</si>
  <si>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</si>
  <si>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</si>
  <si>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</si>
  <si>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</si>
  <si>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</si>
  <si>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</si>
  <si>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</si>
  <si>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</si>
  <si>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</si>
  <si>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</si>
  <si>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</si>
  <si>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</si>
  <si>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</si>
  <si>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</si>
  <si>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</si>
  <si>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</si>
  <si>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</si>
  <si>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</si>
  <si>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</si>
  <si>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</si>
  <si>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</si>
  <si>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</si>
  <si>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</si>
  <si>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</si>
  <si>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</si>
  <si>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</si>
  <si>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</si>
  <si>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</si>
  <si>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</si>
  <si>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</si>
  <si>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</si>
  <si>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</si>
  <si>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</si>
  <si>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</si>
  <si>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</si>
  <si>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</si>
  <si>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</si>
  <si>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</si>
  <si>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</si>
  <si>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</si>
  <si>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</si>
  <si>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</si>
  <si>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</si>
  <si>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</si>
  <si>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</si>
  <si>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</si>
  <si>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</si>
  <si>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</si>
  <si>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</si>
  <si>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</si>
  <si>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</si>
  <si>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</si>
  <si>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</si>
  <si>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</si>
  <si>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</si>
  <si>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</si>
  <si>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</si>
  <si>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</si>
  <si>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</si>
  <si>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</si>
  <si>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</si>
  <si>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</si>
  <si>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</si>
  <si>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</si>
  <si>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</si>
  <si>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</si>
  <si>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</si>
  <si>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</si>
  <si>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</si>
  <si>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</si>
  <si>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</si>
  <si>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</si>
  <si>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</si>
  <si>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</si>
  <si>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</si>
  <si>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</si>
  <si>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</si>
  <si>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</si>
  <si>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</si>
  <si>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</si>
  <si>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</si>
  <si>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</si>
  <si>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</si>
  <si>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</si>
  <si>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</si>
  <si>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</si>
  <si>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</si>
  <si>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</si>
  <si>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</si>
  <si>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</si>
  <si>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</si>
  <si>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</si>
  <si>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</si>
  <si>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</si>
  <si>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</si>
  <si>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</si>
  <si>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</si>
  <si>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</si>
  <si>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</si>
  <si>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</si>
  <si>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</si>
  <si>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</si>
  <si>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</si>
  <si>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</si>
  <si>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</si>
  <si>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</si>
  <si>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</si>
  <si>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</si>
  <si>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</si>
  <si>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</si>
  <si>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</si>
  <si>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</si>
  <si>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</si>
  <si>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</si>
  <si>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</si>
  <si>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</si>
  <si>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</si>
  <si>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</si>
  <si>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</si>
  <si>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</si>
  <si>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</si>
  <si>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</si>
  <si>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</si>
  <si>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</si>
  <si>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</si>
  <si>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</si>
  <si>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</si>
  <si>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</si>
  <si>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</si>
  <si>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</si>
  <si>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</si>
  <si>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</si>
  <si>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</si>
  <si>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</si>
  <si>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</si>
  <si>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</si>
  <si>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</si>
  <si>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</si>
  <si>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</si>
  <si>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</si>
  <si>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</si>
  <si>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</si>
  <si>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</si>
  <si>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</si>
  <si>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</si>
  <si>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</si>
  <si>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</si>
  <si>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</si>
  <si>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</si>
  <si>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</si>
  <si>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</si>
  <si>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</si>
  <si>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</si>
  <si>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</si>
  <si>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</si>
  <si>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</si>
  <si>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</si>
  <si>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</si>
  <si>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</si>
  <si>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</si>
  <si>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</si>
  <si>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</si>
  <si>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</si>
  <si>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</si>
  <si>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</si>
  <si>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</si>
  <si>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</si>
  <si>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</si>
  <si>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</si>
  <si>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</si>
  <si>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</si>
  <si>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</si>
  <si>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</si>
  <si>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</si>
  <si>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</si>
  <si>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</si>
  <si>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</si>
  <si>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</si>
  <si>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</si>
  <si>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</si>
  <si>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</si>
  <si>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</si>
  <si>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</si>
  <si>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</si>
  <si>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</si>
  <si>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</si>
  <si>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</si>
  <si>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</si>
  <si>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</si>
  <si>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</si>
  <si>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</si>
  <si>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</si>
  <si>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</si>
  <si>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</si>
  <si>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</si>
  <si>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</si>
  <si>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</si>
  <si>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</si>
  <si>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</si>
  <si>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</si>
  <si>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</si>
  <si>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</si>
  <si>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</si>
  <si>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</si>
  <si>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</si>
  <si>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</si>
  <si>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</si>
  <si>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</si>
  <si>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</si>
  <si>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</si>
  <si>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</si>
  <si>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</si>
  <si>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</si>
  <si>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</si>
  <si>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</si>
  <si>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</si>
  <si>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</si>
  <si>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</si>
  <si>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</si>
  <si>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</si>
  <si>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</si>
  <si>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</si>
  <si>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</si>
  <si>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</si>
  <si>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</si>
  <si>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</si>
  <si>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</si>
  <si>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</si>
  <si>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</si>
  <si>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</si>
  <si>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</si>
  <si>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</si>
  <si>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</si>
  <si>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</si>
  <si>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</si>
  <si>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</si>
  <si>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</si>
  <si>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</si>
  <si>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</si>
  <si>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</si>
  <si>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</si>
  <si>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</si>
  <si>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</si>
  <si>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</si>
  <si>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</si>
  <si>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</si>
  <si>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</si>
  <si>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</si>
  <si>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</si>
  <si>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</si>
  <si>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</si>
  <si>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</si>
  <si>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</si>
  <si>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</si>
  <si>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</si>
  <si>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</si>
  <si>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</si>
  <si>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</si>
  <si>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</si>
  <si>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</si>
  <si>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</si>
  <si>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</si>
  <si>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</si>
  <si>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</si>
  <si>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</si>
  <si>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</si>
  <si>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</si>
  <si>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</si>
  <si>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</si>
  <si>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</si>
  <si>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</si>
  <si>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</si>
  <si>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</si>
  <si>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</si>
  <si>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</si>
  <si>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</si>
  <si>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</si>
  <si>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</si>
  <si>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</si>
  <si>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</si>
  <si>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</si>
  <si>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</si>
  <si>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</si>
  <si>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</si>
  <si>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</si>
  <si>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</si>
  <si>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</si>
  <si>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</si>
  <si>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</si>
  <si>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</si>
  <si>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</si>
  <si>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</si>
  <si>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</si>
  <si>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</si>
  <si>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</si>
  <si>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</si>
  <si>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</si>
  <si>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</si>
  <si>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</si>
  <si>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</si>
  <si>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</si>
  <si>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</si>
  <si>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</si>
  <si>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</si>
  <si>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</si>
  <si>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</si>
  <si>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</si>
  <si>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</si>
  <si>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</si>
  <si>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</si>
  <si>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</si>
  <si>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</si>
  <si>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</si>
  <si>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</si>
  <si>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</si>
  <si>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</si>
  <si>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</si>
  <si>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</si>
  <si>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</si>
  <si>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</si>
  <si>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</si>
  <si>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</si>
  <si>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</si>
  <si>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</si>
  <si>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</si>
  <si>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</si>
  <si>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</si>
  <si>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</si>
  <si>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</si>
  <si>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</si>
  <si>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</si>
  <si>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</si>
  <si>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</si>
  <si>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</si>
  <si>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</si>
  <si>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</si>
  <si>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</si>
  <si>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</si>
  <si>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</si>
  <si>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</si>
  <si>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</si>
  <si>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</si>
  <si>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</si>
  <si>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</si>
  <si>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</si>
  <si>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</si>
  <si>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</si>
  <si>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</si>
  <si>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</si>
  <si>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</si>
  <si>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</si>
  <si>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</si>
  <si>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</si>
  <si>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</si>
  <si>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</si>
  <si>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</si>
  <si>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</si>
  <si>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</si>
  <si>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</si>
  <si>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</si>
  <si>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</si>
  <si>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</si>
  <si>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</si>
  <si>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</si>
  <si>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</si>
  <si>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</si>
  <si>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</si>
  <si>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</si>
  <si>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</si>
  <si>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</si>
  <si>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</si>
  <si>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</si>
  <si>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</si>
  <si>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</si>
  <si>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</si>
  <si>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</si>
  <si>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</si>
  <si>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</si>
  <si>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</si>
  <si>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</si>
  <si>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</si>
  <si>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</si>
  <si>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</si>
  <si>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</si>
  <si>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</si>
  <si>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</si>
  <si>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</si>
  <si>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</si>
  <si>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</si>
  <si>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</si>
  <si>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</si>
  <si>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</si>
  <si>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</si>
  <si>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</si>
  <si>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</si>
  <si>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</si>
  <si>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</si>
  <si>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</si>
  <si>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</si>
  <si>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</si>
  <si>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</si>
  <si>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</si>
  <si>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</si>
  <si>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</si>
  <si>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</si>
  <si>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</si>
  <si>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</si>
  <si>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</si>
  <si>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</si>
  <si>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</si>
  <si>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</si>
  <si>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</si>
  <si>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</si>
  <si>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</si>
  <si>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</si>
  <si>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</si>
  <si>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</si>
  <si>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</si>
  <si>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</si>
  <si>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</si>
  <si>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</si>
  <si>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</si>
  <si>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</si>
  <si>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</si>
  <si>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</si>
  <si>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</si>
  <si>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</si>
  <si>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</si>
  <si>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</si>
  <si>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</si>
  <si>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</si>
  <si>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</si>
  <si>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</si>
  <si>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</si>
  <si>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</si>
  <si>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</si>
  <si>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</si>
  <si>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</si>
  <si>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</si>
  <si>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</si>
  <si>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</si>
  <si>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</si>
  <si>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</si>
  <si>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</si>
  <si>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</si>
  <si>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</si>
  <si>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</si>
  <si>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</si>
  <si>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</si>
  <si>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</si>
  <si>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</si>
  <si>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</si>
  <si>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</si>
  <si>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</si>
  <si>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</si>
  <si>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</si>
  <si>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</si>
  <si>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</si>
  <si>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</si>
  <si>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</si>
  <si>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</si>
  <si>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</si>
  <si>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</si>
  <si>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</si>
  <si>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</si>
  <si>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</si>
  <si>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</si>
  <si>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</si>
  <si>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</si>
  <si>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</si>
  <si>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</si>
  <si>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</si>
  <si>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</si>
  <si>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</si>
  <si>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</si>
  <si>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</si>
  <si>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</si>
  <si>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</si>
  <si>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</si>
  <si>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</si>
  <si>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</si>
  <si>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</si>
  <si>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</si>
  <si>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</si>
  <si>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</si>
  <si>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</si>
  <si>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</si>
  <si>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</si>
  <si>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</si>
  <si>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</si>
  <si>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</si>
  <si>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</si>
  <si>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</si>
  <si>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</si>
  <si>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</si>
  <si>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</si>
  <si>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</si>
  <si>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</si>
  <si>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</si>
  <si>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</si>
  <si>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</si>
  <si>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</si>
  <si>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</si>
  <si>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</si>
  <si>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</si>
  <si>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</si>
  <si>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</si>
  <si>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</si>
  <si>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</si>
  <si>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</si>
  <si>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</si>
  <si>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</si>
  <si>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</si>
  <si>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</si>
  <si>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</si>
  <si>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</si>
  <si>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</si>
  <si>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</si>
  <si>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</si>
  <si>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</si>
  <si>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</si>
  <si>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</si>
  <si>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</si>
  <si>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</si>
  <si>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</si>
  <si>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</si>
  <si>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</si>
  <si>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</si>
  <si>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</si>
  <si>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</si>
  <si>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</si>
  <si>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</si>
  <si>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</si>
  <si>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</si>
  <si>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</si>
  <si>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</si>
  <si>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</si>
  <si>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</si>
  <si>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</si>
  <si>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</si>
  <si>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</si>
  <si>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</si>
  <si>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</si>
  <si>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</si>
  <si>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</si>
  <si>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</si>
  <si>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</si>
  <si>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</si>
  <si>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</si>
  <si>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</si>
  <si>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</si>
  <si>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</si>
  <si>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</si>
  <si>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</si>
  <si>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</si>
  <si>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</si>
  <si>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</si>
  <si>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</si>
  <si>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</si>
  <si>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</si>
  <si>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</si>
  <si>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</si>
  <si>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</si>
  <si>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</si>
  <si>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</si>
  <si>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</si>
  <si>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</si>
  <si>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</si>
  <si>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</si>
  <si>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</si>
  <si>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</si>
  <si>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</si>
  <si>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</si>
  <si>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</si>
  <si>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</si>
  <si>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</si>
  <si>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</si>
  <si>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</si>
  <si>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</si>
  <si>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</si>
  <si>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</si>
  <si>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</si>
  <si>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</si>
  <si>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</si>
  <si>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</si>
  <si>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</si>
  <si>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</si>
  <si>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</si>
  <si>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</si>
  <si>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</si>
  <si>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</si>
  <si>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</si>
  <si>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</si>
  <si>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</si>
  <si>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</si>
  <si>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</si>
  <si>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</si>
  <si>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</si>
  <si>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</si>
  <si>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</si>
  <si>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</si>
  <si>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</si>
  <si>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</si>
  <si>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</si>
  <si>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</si>
  <si>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</si>
  <si>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</si>
  <si>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</si>
  <si>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</si>
  <si>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</si>
  <si>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</si>
  <si>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</si>
  <si>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</si>
  <si>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</si>
  <si>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</si>
  <si>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</si>
  <si>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</si>
  <si>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</si>
  <si>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</si>
  <si>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</si>
  <si>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</si>
  <si>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</si>
  <si>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</si>
  <si>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</si>
  <si>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</si>
  <si>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</si>
  <si>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</si>
  <si>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</si>
  <si>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</si>
  <si>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</si>
  <si>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</si>
  <si>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</si>
  <si>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</si>
  <si>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</si>
  <si>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</si>
  <si>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</si>
  <si>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</si>
  <si>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</si>
  <si>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</si>
  <si>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</si>
  <si>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</si>
  <si>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</si>
  <si>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</si>
  <si>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</si>
  <si>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</si>
  <si>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</si>
  <si>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</si>
  <si>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</si>
  <si>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</si>
  <si>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</si>
  <si>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</si>
  <si>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</si>
  <si>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</si>
  <si>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</si>
  <si>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</si>
  <si>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</si>
  <si>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  <phoneticPr fontId="18" type="noConversion"/>
  </si>
  <si>
    <t>canceled</t>
    <phoneticPr fontId="18" type="noConversion"/>
  </si>
  <si>
    <t>Date Created Conversion</t>
    <phoneticPr fontId="18" type="noConversion"/>
  </si>
  <si>
    <t>Date Ended Conversion</t>
    <phoneticPr fontId="18" type="noConversion"/>
  </si>
  <si>
    <t>Average Donation</t>
    <phoneticPr fontId="18" type="noConversion"/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</si>
  <si>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</si>
  <si>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</si>
  <si>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</si>
  <si>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</si>
  <si>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</si>
  <si>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</si>
  <si>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</si>
  <si>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</si>
  <si>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</si>
  <si>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</si>
  <si>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</si>
  <si>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</si>
  <si>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</si>
  <si>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</si>
  <si>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</si>
  <si>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</si>
  <si>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</si>
  <si>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</si>
  <si>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</si>
  <si>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</si>
  <si>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</si>
  <si>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</si>
  <si>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</si>
  <si>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</si>
  <si>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</si>
  <si>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</si>
  <si>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</si>
  <si>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</si>
  <si>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</si>
  <si>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</si>
  <si>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</si>
  <si>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</si>
  <si>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</si>
  <si>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  <phoneticPr fontId="18" type="noConversion"/>
  </si>
  <si>
    <t>Sub-Category</t>
    <phoneticPr fontId="18" type="noConversion"/>
  </si>
  <si>
    <t>Row Labels</t>
  </si>
  <si>
    <t>Grand Total</t>
  </si>
  <si>
    <t>Count of outcome</t>
  </si>
  <si>
    <t>(All)</t>
  </si>
  <si>
    <t>Column Labels</t>
  </si>
  <si>
    <t>Parent 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</si>
  <si>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</si>
  <si>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</si>
  <si>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</si>
  <si>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</si>
  <si>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</si>
  <si>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</si>
  <si>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</si>
  <si>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</si>
  <si>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</si>
  <si>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</si>
  <si>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</si>
  <si>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</si>
  <si>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Years 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</si>
  <si>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</si>
  <si>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</si>
  <si>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</si>
  <si>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</si>
  <si>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</si>
  <si>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</si>
  <si>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</si>
  <si>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</si>
  <si>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</si>
  <si>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1000 to 4999</t>
  </si>
  <si>
    <t>Less Than 1000</t>
  </si>
  <si>
    <t>Goal</t>
  </si>
  <si>
    <t>Greater than 50000</t>
  </si>
  <si>
    <t>Numbder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</si>
  <si>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</si>
  <si>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</si>
  <si>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</si>
  <si>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</si>
  <si>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</si>
  <si>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</si>
  <si>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mean</t>
  </si>
  <si>
    <t>minimum</t>
  </si>
  <si>
    <t>maximum</t>
  </si>
  <si>
    <t>variance</t>
  </si>
  <si>
    <t>standard deviation</t>
  </si>
  <si>
    <t>successful campaigns</t>
  </si>
  <si>
    <t>unsuccessful campaigns</t>
  </si>
  <si>
    <t>median</t>
  </si>
  <si>
    <t>statistic vales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</si>
</sst>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6" fillId="0" borderId="0" xfId="0" applyFon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42" applyFont="1"/>
    <xf numFmtId="1" fontId="0" fillId="0" borderId="0" xfId="0" applyNumberFormat="1"/>
    <xf numFmtId="164" fontId="16" fillId="0" borderId="0" xfId="0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/>
      </font>
      <fill>
        <patternFill>
          <bgColor theme="4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/>
      </font>
      <fill>
        <patternFill>
          <bgColor theme="4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/>
      </font>
      <fill>
        <patternFill>
          <bgColor theme="4"/>
        </patternFill>
      </fill>
    </dxf>
    <dxf>
      <font>
        <color theme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6600"/>
      <color rgb="FFD60093"/>
      <color rgb="FFCC0000"/>
      <color rgb="FFFF5050"/>
      <color rgb="FFD04608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[CrowdfundingBook_0701.xlsm]based on parent category!PivotTable1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'based on parent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'based on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'based on parent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5-4D9F-A5CC-CEFF91ED3683}"/>
            </c:ext>
          </c:extLst>
        </c:ser>
        <c:ser>
          <c:idx val="1"/>
          <c:order val="1"/>
          <c:tx>
            <c:strRef>
              <c:f>'based on parent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'based on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'based on parent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65-4D9F-A5CC-CEFF91ED3683}"/>
            </c:ext>
          </c:extLst>
        </c:ser>
        <c:ser>
          <c:idx val="2"/>
          <c:order val="2"/>
          <c:tx>
            <c:strRef>
              <c:f>'based on parent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'based on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'based on parent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65-4D9F-A5CC-CEFF91ED3683}"/>
            </c:ext>
          </c:extLst>
        </c:ser>
        <c:ser>
          <c:idx val="3"/>
          <c:order val="3"/>
          <c:tx>
            <c:strRef>
              <c:f>'based on parent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'based on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'based on parent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65-4D9F-A5CC-CEFF91ED3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708575"/>
        <c:axId val="1053036511"/>
      </c:barChart>
      <c:catAx>
        <c:axId val="717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036511"/>
        <c:crosses val="autoZero"/>
        <c:auto val="1"/>
        <c:lblAlgn val="ctr"/>
        <c:lblOffset val="100"/>
        <c:noMultiLvlLbl val="0"/>
      </c:catAx>
      <c:valAx>
        <c:axId val="105303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[CrowdfundingBook_0701.xlsm]based on sub-category!PivotTable2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'based on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'based on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3-4186-975D-B8804B0B016A}"/>
            </c:ext>
          </c:extLst>
        </c:ser>
        <c:ser>
          <c:idx val="1"/>
          <c:order val="1"/>
          <c:tx>
            <c:strRef>
              <c:f>'based on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'based on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63-4186-975D-B8804B0B016A}"/>
            </c:ext>
          </c:extLst>
        </c:ser>
        <c:ser>
          <c:idx val="2"/>
          <c:order val="2"/>
          <c:tx>
            <c:strRef>
              <c:f>'based on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'based on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63-4186-975D-B8804B0B016A}"/>
            </c:ext>
          </c:extLst>
        </c:ser>
        <c:ser>
          <c:idx val="3"/>
          <c:order val="3"/>
          <c:tx>
            <c:strRef>
              <c:f>'based on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'based on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'based on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63-4186-975D-B8804B0B0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289807"/>
        <c:axId val="107292687"/>
      </c:barChart>
      <c:catAx>
        <c:axId val="10728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92687"/>
        <c:crosses val="autoZero"/>
        <c:auto val="1"/>
        <c:lblAlgn val="ctr"/>
        <c:lblOffset val="100"/>
        <c:noMultiLvlLbl val="0"/>
      </c:catAx>
      <c:valAx>
        <c:axId val="10729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8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[CrowdfundingBook_0701.xlsm]based on country!PivotTable2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'based on country'!$B$3:$B$4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'based on country'!$A$5:$A$12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'based on country'!$B$5:$B$12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5-4250-87A3-B5DFEF96200F}"/>
            </c:ext>
          </c:extLst>
        </c:ser>
        <c:ser>
          <c:idx val="1"/>
          <c:order val="1"/>
          <c:tx>
            <c:strRef>
              <c:f>'based on country'!$C$3:$C$4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'based on country'!$A$5:$A$12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'based on country'!$C$5:$C$12</c:f>
              <c:numCache>
                <c:formatCode>General</c:formatCode>
                <c:ptCount val="7"/>
                <c:pt idx="0">
                  <c:v>16</c:v>
                </c:pt>
                <c:pt idx="1">
                  <c:v>19</c:v>
                </c:pt>
                <c:pt idx="2">
                  <c:v>6</c:v>
                </c:pt>
                <c:pt idx="3">
                  <c:v>12</c:v>
                </c:pt>
                <c:pt idx="4">
                  <c:v>18</c:v>
                </c:pt>
                <c:pt idx="5">
                  <c:v>19</c:v>
                </c:pt>
                <c:pt idx="6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C5-4250-87A3-B5DFEF96200F}"/>
            </c:ext>
          </c:extLst>
        </c:ser>
        <c:ser>
          <c:idx val="2"/>
          <c:order val="2"/>
          <c:tx>
            <c:strRef>
              <c:f>'based on country'!$D$3:$D$4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'based on country'!$A$5:$A$12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'based on country'!$D$5:$D$12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C5-4250-87A3-B5DFEF96200F}"/>
            </c:ext>
          </c:extLst>
        </c:ser>
        <c:ser>
          <c:idx val="3"/>
          <c:order val="3"/>
          <c:tx>
            <c:strRef>
              <c:f>'based on country'!$E$3:$E$4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'based on country'!$A$5:$A$12</c:f>
              <c:strCache>
                <c:ptCount val="7"/>
                <c:pt idx="0">
                  <c:v>AU</c:v>
                </c:pt>
                <c:pt idx="1">
                  <c:v>CA</c:v>
                </c:pt>
                <c:pt idx="2">
                  <c:v>CH</c:v>
                </c:pt>
                <c:pt idx="3">
                  <c:v>DK</c:v>
                </c:pt>
                <c:pt idx="4">
                  <c:v>GB</c:v>
                </c:pt>
                <c:pt idx="5">
                  <c:v>IT</c:v>
                </c:pt>
                <c:pt idx="6">
                  <c:v>US</c:v>
                </c:pt>
              </c:strCache>
            </c:strRef>
          </c:cat>
          <c:val>
            <c:numRef>
              <c:f>'based on country'!$E$5:$E$12</c:f>
              <c:numCache>
                <c:formatCode>General</c:formatCode>
                <c:ptCount val="7"/>
                <c:pt idx="0">
                  <c:v>24</c:v>
                </c:pt>
                <c:pt idx="1">
                  <c:v>22</c:v>
                </c:pt>
                <c:pt idx="2">
                  <c:v>12</c:v>
                </c:pt>
                <c:pt idx="3">
                  <c:v>17</c:v>
                </c:pt>
                <c:pt idx="4">
                  <c:v>28</c:v>
                </c:pt>
                <c:pt idx="5">
                  <c:v>26</c:v>
                </c:pt>
                <c:pt idx="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C5-4250-87A3-B5DFEF962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283551"/>
        <c:axId val="2085152303"/>
      </c:barChart>
      <c:catAx>
        <c:axId val="18728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152303"/>
        <c:crosses val="autoZero"/>
        <c:auto val="1"/>
        <c:lblAlgn val="ctr"/>
        <c:lblOffset val="100"/>
        <c:noMultiLvlLbl val="0"/>
      </c:catAx>
      <c:valAx>
        <c:axId val="20851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8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[CrowdfundingBook_0701.xlsm]based on date!PivotTable5</c:name>
    <c:fmtId val="8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noFill/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'based on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'based on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'based on date'!$B$6:$B$18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9-4694-907B-F1729EA44AB3}"/>
            </c:ext>
          </c:extLst>
        </c:ser>
        <c:ser>
          <c:idx val="1"/>
          <c:order val="1"/>
          <c:tx>
            <c:strRef>
              <c:f>'based on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'based on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'based on date'!$C$6:$C$18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69-4694-907B-F1729EA44AB3}"/>
            </c:ext>
          </c:extLst>
        </c:ser>
        <c:ser>
          <c:idx val="2"/>
          <c:order val="2"/>
          <c:tx>
            <c:strRef>
              <c:f>'based on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'based on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'based on date'!$D$6:$D$18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69-4694-907B-F1729EA44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43951"/>
        <c:axId val="530435311"/>
      </c:lineChart>
      <c:catAx>
        <c:axId val="5304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35311"/>
        <c:crosses val="autoZero"/>
        <c:auto val="1"/>
        <c:lblAlgn val="ctr"/>
        <c:lblOffset val="100"/>
        <c:noMultiLvlLbl val="0"/>
      </c:catAx>
      <c:valAx>
        <c:axId val="53043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F-4831-903A-0296C28F4067}"/>
            </c:ext>
          </c:extLst>
        </c:ser>
        <c:ser>
          <c:idx val="1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4F-4831-903A-0296C28F4067}"/>
            </c:ext>
          </c:extLst>
        </c:ser>
        <c:ser>
          <c:idx val="2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4F-4831-903A-0296C28F4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67231"/>
        <c:axId val="136459551"/>
      </c:lineChart>
      <c:catAx>
        <c:axId val="13646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59551"/>
        <c:crosses val="autoZero"/>
        <c:auto val="1"/>
        <c:lblAlgn val="ctr"/>
        <c:lblOffset val="100"/>
        <c:noMultiLvlLbl val="0"/>
      </c:catAx>
      <c:valAx>
        <c:axId val="13645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6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714375</xdr:colOff>
      <xdr:row>3</xdr:row>
      <xdr:rowOff>123825</xdr:rowOff>
    </xdr:from>
    <xdr:to>
      <xdr:col>16</xdr:col>
      <xdr:colOff>85724</xdr:colOff>
      <xdr:row>25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3AB624-D014-6535-2A82-240FE993B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704849</xdr:colOff>
      <xdr:row>4</xdr:row>
      <xdr:rowOff>76199</xdr:rowOff>
    </xdr:from>
    <xdr:to>
      <xdr:col>17</xdr:col>
      <xdr:colOff>161924</xdr:colOff>
      <xdr:row>28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C17ECB-C4A3-8AE1-185D-B506095C2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123825</xdr:rowOff>
    </xdr:from>
    <xdr:to>
      <xdr:col>17</xdr:col>
      <xdr:colOff>438150</xdr:colOff>
      <xdr:row>27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6285A1-E2D1-D577-5F76-8D49A8EAF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347661</xdr:colOff>
      <xdr:row>7</xdr:row>
      <xdr:rowOff>85725</xdr:rowOff>
    </xdr:from>
    <xdr:to>
      <xdr:col>16</xdr:col>
      <xdr:colOff>361951</xdr:colOff>
      <xdr:row>29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01C91B-7D6D-21A0-EE96-8355105A8D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166686</xdr:colOff>
      <xdr:row>16</xdr:row>
      <xdr:rowOff>9525</xdr:rowOff>
    </xdr:from>
    <xdr:to>
      <xdr:col>9</xdr:col>
      <xdr:colOff>38100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E340E6-CBD9-DC5E-AA91-C0BD0DC9C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ngje Son" refreshedDate="45106.985863657406" createdVersion="8" refreshedVersion="8" minRefreshableVersion="3" recordCount="1001" xr:uid="{204121A1-791D-4486-9E91-FED88FABF8CC}">
  <cacheSource type="worksheet">
    <worksheetSource ref="A1:T1048576" sheet="Crowdfunding"/>
  </cacheSource>
  <cacheFields count="23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containsInteger="1" minValue="0" maxValue="2339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String="0" containsBlank="1" containsNumber="1" minValue="0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 Created Conversion" numFmtId="164">
      <sharedItems containsNonDate="0" containsDate="1" containsString="0" containsBlank="1" minDate="2010-01-09T00:00:00" maxDate="2020-01-28T00:00:00" count="880">
        <d v="2015-11-28T00:00:00"/>
        <d v="2014-08-19T00:00:00"/>
        <d v="2013-11-17T00:00:00"/>
        <d v="2019-08-11T00:00:00"/>
        <d v="2019-01-20T00:00:00"/>
        <d v="2012-08-28T00:00:00"/>
        <d v="2017-09-13T00:00:00"/>
        <d v="2015-08-13T00:00:00"/>
        <d v="2010-08-09T00:00:00"/>
        <d v="2013-09-19T00:00:00"/>
        <d v="2010-08-14T00:00:00"/>
        <d v="2010-09-21T00:00:00"/>
        <d v="2019-10-22T00:00:00"/>
        <d v="2016-06-11T00:00:00"/>
        <d v="2012-03-06T00:00:00"/>
        <d v="2019-12-10T00:00:00"/>
        <d v="2014-01-22T00:00:00"/>
        <d v="2011-01-12T00:00:00"/>
        <d v="2018-09-08T00:00:00"/>
        <d v="2019-03-04T00:00:00"/>
        <d v="2014-07-28T00:00:00"/>
        <d v="2011-08-15T00:00:00"/>
        <d v="2018-04-03T00:00:00"/>
        <d v="2019-02-14T00:00:00"/>
        <d v="2014-06-21T00:00:00"/>
        <d v="2011-05-18T00:00:00"/>
        <d v="2018-07-31T00:00:00"/>
        <d v="2015-10-03T00:00:00"/>
        <d v="2010-02-09T00:00:00"/>
        <d v="2018-07-20T00:00:00"/>
        <d v="2019-05-24T00:00:00"/>
        <d v="2016-01-05T00:00:00"/>
        <d v="2018-01-10T00:00:00"/>
        <d v="2014-10-05T00:00:00"/>
        <d v="2017-03-23T00:00:00"/>
        <d v="2019-01-19T00:00:00"/>
        <d v="2011-02-26T00:00:00"/>
        <d v="2019-10-06T00:00:00"/>
        <d v="2010-10-18T00:00:00"/>
        <d v="2013-02-25T00:00:00"/>
        <d v="2010-06-05T00:00:00"/>
        <d v="2012-09-04T00:00:00"/>
        <d v="2011-07-04T00:00:00"/>
        <d v="2014-07-24T00:00:00"/>
        <d v="2019-03-17T00:00:00"/>
        <d v="2016-11-02T00:00:00"/>
        <d v="2010-07-08T00:00:00"/>
        <d v="2014-03-29T00:00:00"/>
        <d v="2015-06-25T00:00:00"/>
        <d v="2019-10-20T00:00:00"/>
        <d v="2013-08-01T00:00:00"/>
        <d v="2012-03-27T00:00:00"/>
        <d v="2010-09-15T00:00:00"/>
        <d v="2014-05-20T00:00:00"/>
        <d v="2018-03-11T00:00:00"/>
        <d v="2018-07-30T00:00:00"/>
        <d v="2015-01-10T00:00:00"/>
        <d v="2017-09-01T00:00:00"/>
        <d v="2015-09-21T00:00:00"/>
        <d v="2017-06-12T00:00:00"/>
        <d v="2012-07-17T00:00:00"/>
        <d v="2011-02-21T00:00:00"/>
        <d v="2015-06-05T00:00:00"/>
        <d v="2017-04-28T00:00:00"/>
        <d v="2018-07-02T00:00:00"/>
        <d v="2011-01-27T00:00:00"/>
        <d v="2015-04-08T00:00:00"/>
        <d v="2010-01-25T00:00:00"/>
        <d v="2017-07-27T00:00:00"/>
        <d v="2010-12-19T00:00:00"/>
        <d v="2010-11-02T00:00:00"/>
        <d v="2019-11-30T00:00:00"/>
        <d v="2015-07-01T00:00:00"/>
        <d v="2016-11-27T00:00:00"/>
        <d v="2016-03-27T00:00:00"/>
        <d v="2018-07-15T00:00:00"/>
        <d v="2015-01-23T00:00:00"/>
        <d v="2010-09-27T00:00:00"/>
        <d v="2018-04-16T00:00:00"/>
        <d v="2018-06-16T00:00:00"/>
        <d v="2017-08-29T00:00:00"/>
        <d v="2017-11-23T00:00:00"/>
        <d v="2019-01-17T00:00:00"/>
        <d v="2016-07-28T00:00:00"/>
        <d v="2012-07-28T00:00:00"/>
        <d v="2011-09-11T00:00:00"/>
        <d v="2015-05-04T00:00:00"/>
        <d v="2011-03-08T00:00:00"/>
        <d v="2015-04-16T00:00:00"/>
        <d v="2010-04-15T00:00:00"/>
        <d v="2016-02-25T00:00:00"/>
        <d v="2016-08-06T00:00:00"/>
        <d v="2010-06-23T00:00:00"/>
        <d v="2012-10-20T00:00:00"/>
        <d v="2019-04-07T00:00:00"/>
        <d v="2019-10-14T00:00:00"/>
        <d v="2011-03-10T00:00:00"/>
        <d v="2015-07-27T00:00:00"/>
        <d v="2014-11-25T00:00:00"/>
        <d v="2011-10-19T00:00:00"/>
        <d v="2015-02-21T00:00:00"/>
        <d v="2018-05-14T00:00:00"/>
        <d v="2010-10-24T00:00:00"/>
        <d v="2017-05-23T00:00:00"/>
        <d v="2013-04-02T00:00:00"/>
        <d v="2019-09-08T00:00:00"/>
        <d v="2018-04-23T00:00:00"/>
        <d v="2012-04-06T00:00:00"/>
        <d v="2014-01-12T00:00:00"/>
        <d v="2018-09-11T00:00:00"/>
        <d v="2012-09-22T00:00:00"/>
        <d v="2014-08-24T00:00:00"/>
        <d v="2017-09-12T00:00:00"/>
        <d v="2019-04-09T00:00:00"/>
        <d v="2017-11-17T00:00:00"/>
        <d v="2015-09-18T00:00:00"/>
        <d v="2011-09-22T00:00:00"/>
        <d v="2014-01-26T00:00:00"/>
        <d v="2014-06-16T00:00:00"/>
        <d v="2015-04-17T00:00:00"/>
        <d v="2014-11-27T00:00:00"/>
        <d v="2015-11-24T00:00:00"/>
        <d v="2019-05-13T00:00:00"/>
        <d v="2018-09-19T00:00:00"/>
        <d v="2016-08-14T00:00:00"/>
        <d v="2010-05-12T00:00:00"/>
        <d v="2010-08-27T00:00:00"/>
        <d v="2015-02-03T00:00:00"/>
        <d v="2011-10-26T00:00:00"/>
        <d v="2013-11-29T00:00:00"/>
        <d v="2018-01-12T00:00:00"/>
        <d v="2011-08-12T00:00:00"/>
        <d v="2011-06-19T00:00:00"/>
        <d v="2013-03-07T00:00:00"/>
        <d v="2014-06-07T00:00:00"/>
        <d v="2010-10-06T00:00:00"/>
        <d v="2012-09-28T00:00:00"/>
        <d v="2015-04-21T00:00:00"/>
        <d v="2018-02-25T00:00:00"/>
        <d v="2015-06-12T00:00:00"/>
        <d v="2010-06-28T00:00:00"/>
        <d v="2019-06-17T00:00:00"/>
        <d v="2014-09-07T00:00:00"/>
        <d v="2011-11-08T00:00:00"/>
        <d v="2016-06-13T00:00:00"/>
        <d v="2017-07-25T00:00:00"/>
        <d v="2013-01-01T00:00:00"/>
        <d v="2018-12-16T00:00:00"/>
        <d v="2014-06-09T00:00:00"/>
        <d v="2017-02-17T00:00:00"/>
        <d v="2012-10-19T00:00:00"/>
        <d v="2016-05-12T00:00:00"/>
        <d v="2010-03-25T00:00:00"/>
        <d v="2019-10-05T00:00:00"/>
        <d v="2013-12-30T00:00:00"/>
        <d v="2015-12-08T00:00:00"/>
        <d v="2019-03-27T00:00:00"/>
        <d v="2019-04-27T00:00:00"/>
        <d v="2015-09-23T00:00:00"/>
        <d v="2018-12-08T00:00:00"/>
        <d v="2017-10-20T00:00:00"/>
        <d v="2017-10-08T00:00:00"/>
        <d v="2017-08-01T00:00:00"/>
        <d v="2010-12-22T00:00:00"/>
        <d v="2013-06-10T00:00:00"/>
        <d v="2019-02-22T00:00:00"/>
        <d v="2012-06-17T00:00:00"/>
        <d v="2017-08-03T00:00:00"/>
        <d v="2014-03-20T00:00:00"/>
        <d v="2014-07-19T00:00:00"/>
        <d v="2013-05-18T00:00:00"/>
        <d v="2015-10-05T00:00:00"/>
        <d v="2016-08-31T00:00:00"/>
        <d v="2016-09-03T00:00:00"/>
        <d v="2010-11-15T00:00:00"/>
        <d v="2017-09-21T00:00:00"/>
        <d v="2013-03-17T00:00:00"/>
        <d v="2010-03-22T00:00:00"/>
        <d v="2017-10-04T00:00:00"/>
        <d v="2019-06-15T00:00:00"/>
        <d v="2010-09-09T00:00:00"/>
        <d v="2019-05-03T00:00:00"/>
        <d v="2018-05-13T00:00:00"/>
        <d v="2014-05-23T00:00:00"/>
        <d v="2013-02-23T00:00:00"/>
        <d v="2014-12-02T00:00:00"/>
        <d v="2016-03-04T00:00:00"/>
        <d v="2013-06-04T00:00:00"/>
        <d v="2019-03-12T00:00:00"/>
        <d v="2014-06-27T00:00:00"/>
        <d v="2018-04-08T00:00:00"/>
        <d v="2015-09-14T00:00:00"/>
        <d v="2018-07-29T00:00:00"/>
        <d v="2017-06-23T00:00:00"/>
        <d v="2010-08-06T00:00:00"/>
        <d v="2015-07-07T00:00:00"/>
        <d v="2014-07-25T00:00:00"/>
        <d v="2011-10-02T00:00:00"/>
        <d v="2017-01-17T00:00:00"/>
        <d v="2011-04-03T00:00:00"/>
        <d v="2018-10-17T00:00:00"/>
        <d v="2010-02-27T00:00:00"/>
        <d v="2018-08-28T00:00:00"/>
        <d v="2017-11-09T00:00:00"/>
        <d v="2016-05-06T00:00:00"/>
        <d v="2017-03-03T00:00:00"/>
        <d v="2013-08-27T00:00:00"/>
        <d v="2019-12-15T00:00:00"/>
        <d v="2010-11-06T00:00:00"/>
        <d v="2010-08-19T00:00:00"/>
        <d v="2019-02-13T00:00:00"/>
        <d v="2011-11-22T00:00:00"/>
        <d v="2019-04-28T00:00:00"/>
        <d v="2011-11-11T00:00:00"/>
        <d v="2012-08-16T00:00:00"/>
        <d v="2011-07-01T00:00:00"/>
        <d v="2012-06-21T00:00:00"/>
        <d v="2014-10-02T00:00:00"/>
        <d v="2016-03-16T00:00:00"/>
        <d v="2014-09-24T00:00:00"/>
        <d v="2014-05-03T00:00:00"/>
        <d v="2010-04-08T00:00:00"/>
        <d v="2015-05-15T00:00:00"/>
        <d v="2017-06-01T00:00:00"/>
        <d v="2019-12-06T00:00:00"/>
        <d v="2013-05-21T00:00:00"/>
        <d v="2016-07-25T00:00:00"/>
        <d v="2011-06-12T00:00:00"/>
        <d v="2017-08-22T00:00:00"/>
        <d v="2017-02-13T00:00:00"/>
        <d v="2019-06-25T00:00:00"/>
        <d v="2014-04-25T00:00:00"/>
        <d v="2017-12-14T00:00:00"/>
        <d v="2015-08-29T00:00:00"/>
        <d v="2014-04-13T00:00:00"/>
        <d v="2017-05-10T00:00:00"/>
        <d v="2018-03-04T00:00:00"/>
        <d v="2014-07-14T00:00:00"/>
        <d v="2014-04-07T00:00:00"/>
        <d v="2013-08-05T00:00:00"/>
        <d v="2016-12-22T00:00:00"/>
        <d v="2014-12-31T00:00:00"/>
        <d v="2015-01-02T00:00:00"/>
        <d v="2012-12-09T00:00:00"/>
        <d v="2013-10-25T00:00:00"/>
        <d v="2011-04-08T00:00:00"/>
        <d v="2017-02-21T00:00:00"/>
        <d v="2011-02-16T00:00:00"/>
        <d v="2016-01-24T00:00:00"/>
        <d v="2013-03-05T00:00:00"/>
        <d v="2016-12-08T00:00:00"/>
        <d v="2012-12-08T00:00:00"/>
        <d v="2010-08-25T00:00:00"/>
        <d v="2011-04-05T00:00:00"/>
        <d v="2010-01-09T00:00:00"/>
        <d v="2013-02-12T00:00:00"/>
        <d v="2016-01-03T00:00:00"/>
        <d v="2014-11-07T00:00:00"/>
        <d v="2012-10-24T00:00:00"/>
        <d v="2012-10-04T00:00:00"/>
        <d v="2019-01-31T00:00:00"/>
        <d v="2010-12-02T00:00:00"/>
        <d v="2015-12-07T00:00:00"/>
        <d v="2019-07-10T00:00:00"/>
        <d v="2017-09-17T00:00:00"/>
        <d v="2017-11-06T00:00:00"/>
        <d v="2019-04-06T00:00:00"/>
        <d v="2012-04-19T00:00:00"/>
        <d v="2010-07-19T00:00:00"/>
        <d v="2012-11-26T00:00:00"/>
        <d v="2018-09-03T00:00:00"/>
        <d v="2017-11-21T00:00:00"/>
        <d v="2012-03-11T00:00:00"/>
        <d v="2016-05-30T00:00:00"/>
        <d v="2012-05-01T00:00:00"/>
        <d v="2016-09-10T00:00:00"/>
        <d v="2016-11-23T00:00:00"/>
        <d v="2015-04-28T00:00:00"/>
        <d v="2012-03-14T00:00:00"/>
        <d v="2015-08-03T00:00:00"/>
        <d v="2013-05-10T00:00:00"/>
        <d v="2011-10-15T00:00:00"/>
        <d v="2012-03-16T00:00:00"/>
        <d v="2010-10-05T00:00:00"/>
        <d v="2018-10-26T00:00:00"/>
        <d v="2013-10-15T00:00:00"/>
        <d v="2019-01-28T00:00:00"/>
        <d v="2014-01-14T00:00:00"/>
        <d v="2016-02-26T00:00:00"/>
        <d v="2016-03-03T00:00:00"/>
        <d v="2017-08-30T00:00:00"/>
        <d v="2015-02-26T00:00:00"/>
        <d v="2018-09-02T00:00:00"/>
        <d v="2016-01-07T00:00:00"/>
        <d v="2016-08-07T00:00:00"/>
        <d v="2016-03-19T00:00:00"/>
        <d v="2017-07-14T00:00:00"/>
        <d v="2012-06-06T00:00:00"/>
        <d v="2011-04-18T00:00:00"/>
        <d v="2011-09-21T00:00:00"/>
        <d v="2010-04-09T00:00:00"/>
        <d v="2012-02-27T00:00:00"/>
        <d v="2014-05-24T00:00:00"/>
        <d v="2019-11-19T00:00:00"/>
        <d v="2017-05-14T00:00:00"/>
        <d v="2014-02-14T00:00:00"/>
        <d v="2010-08-12T00:00:00"/>
        <d v="2011-05-10T00:00:00"/>
        <d v="2011-04-01T00:00:00"/>
        <d v="2010-11-25T00:00:00"/>
        <d v="2014-03-27T00:00:00"/>
        <d v="2015-06-21T00:00:00"/>
        <d v="2015-12-26T00:00:00"/>
        <d v="2019-08-28T00:00:00"/>
        <d v="2018-11-30T00:00:00"/>
        <d v="2016-12-12T00:00:00"/>
        <d v="2017-12-08T00:00:00"/>
        <d v="2011-12-19T00:00:00"/>
        <d v="2013-03-28T00:00:00"/>
        <d v="2018-11-20T00:00:00"/>
        <d v="2019-11-15T00:00:00"/>
        <d v="2010-12-15T00:00:00"/>
        <d v="2019-11-11T00:00:00"/>
        <d v="2011-10-05T00:00:00"/>
        <d v="2017-08-02T00:00:00"/>
        <d v="2011-12-12T00:00:00"/>
        <d v="2015-08-28T00:00:00"/>
        <d v="2013-07-20T00:00:00"/>
        <d v="2013-11-19T00:00:00"/>
        <d v="2018-01-22T00:00:00"/>
        <d v="2015-07-09T00:00:00"/>
        <d v="2017-08-24T00:00:00"/>
        <d v="2015-02-11T00:00:00"/>
        <d v="2017-02-16T00:00:00"/>
        <d v="2015-05-20T00:00:00"/>
        <d v="2015-08-24T00:00:00"/>
        <d v="2015-11-07T00:00:00"/>
        <d v="2019-07-05T00:00:00"/>
        <d v="2013-09-03T00:00:00"/>
        <d v="2017-01-22T00:00:00"/>
        <d v="2012-01-14T00:00:00"/>
        <d v="2015-09-03T00:00:00"/>
        <d v="2018-08-10T00:00:00"/>
        <d v="2011-08-27T00:00:00"/>
        <d v="2011-01-01T00:00:00"/>
        <d v="2017-10-07T00:00:00"/>
        <d v="2011-12-27T00:00:00"/>
        <d v="2018-03-05T00:00:00"/>
        <d v="2016-12-29T00:00:00"/>
        <d v="2011-01-03T00:00:00"/>
        <d v="2014-10-18T00:00:00"/>
        <d v="2010-10-13T00:00:00"/>
        <d v="2013-02-03T00:00:00"/>
        <d v="2019-04-15T00:00:00"/>
        <d v="2015-02-08T00:00:00"/>
        <d v="2015-01-08T00:00:00"/>
        <d v="2017-08-17T00:00:00"/>
        <d v="2019-01-11T00:00:00"/>
        <d v="2015-10-16T00:00:00"/>
        <d v="2014-07-06T00:00:00"/>
        <d v="2018-05-21T00:00:00"/>
        <d v="2011-10-27T00:00:00"/>
        <d v="2013-06-23T00:00:00"/>
        <d v="2015-06-08T00:00:00"/>
        <d v="2017-10-16T00:00:00"/>
        <d v="2017-02-10T00:00:00"/>
        <d v="2019-03-29T00:00:00"/>
        <d v="2010-06-26T00:00:00"/>
        <d v="2012-06-12T00:00:00"/>
        <d v="2012-01-04T00:00:00"/>
        <d v="2010-10-28T00:00:00"/>
        <d v="2013-09-13T00:00:00"/>
        <d v="2011-01-06T00:00:00"/>
        <d v="2017-07-17T00:00:00"/>
        <d v="2013-07-29T00:00:00"/>
        <d v="2011-12-08T00:00:00"/>
        <d v="2018-10-05T00:00:00"/>
        <d v="2013-05-23T00:00:00"/>
        <d v="2018-05-08T00:00:00"/>
        <d v="2011-02-02T00:00:00"/>
        <d v="2013-08-16T00:00:00"/>
        <d v="2019-10-27T00:00:00"/>
        <d v="2012-01-06T00:00:00"/>
        <d v="2017-11-14T00:00:00"/>
        <d v="2018-06-04T00:00:00"/>
        <d v="2013-01-30T00:00:00"/>
        <d v="2019-10-13T00:00:00"/>
        <d v="2016-06-20T00:00:00"/>
        <d v="2017-04-18T00:00:00"/>
        <d v="2017-05-29T00:00:00"/>
        <d v="2014-01-03T00:00:00"/>
        <d v="2018-11-27T00:00:00"/>
        <d v="2010-04-20T00:00:00"/>
        <d v="2012-01-13T00:00:00"/>
        <d v="2011-01-17T00:00:00"/>
        <d v="2018-11-03T00:00:00"/>
        <d v="2012-05-06T00:00:00"/>
        <d v="2011-12-22T00:00:00"/>
        <d v="2017-06-25T00:00:00"/>
        <d v="2017-06-29T00:00:00"/>
        <d v="2010-04-17T00:00:00"/>
        <d v="2018-04-18T00:00:00"/>
        <d v="2015-07-28T00:00:00"/>
        <d v="2013-02-27T00:00:00"/>
        <d v="2014-09-13T00:00:00"/>
        <d v="2011-02-11T00:00:00"/>
        <d v="2014-02-10T00:00:00"/>
        <d v="2019-09-29T00:00:00"/>
        <d v="2018-06-22T00:00:00"/>
        <d v="2014-05-02T00:00:00"/>
        <d v="2013-11-25T00:00:00"/>
        <d v="2016-12-01T00:00:00"/>
        <d v="2014-12-15T00:00:00"/>
        <d v="2019-04-20T00:00:00"/>
        <d v="2015-09-13T00:00:00"/>
        <d v="2013-03-04T00:00:00"/>
        <d v="2016-11-06T00:00:00"/>
        <d v="2017-06-30T00:00:00"/>
        <d v="2012-04-26T00:00:00"/>
        <d v="2017-09-02T00:00:00"/>
        <d v="2010-09-30T00:00:00"/>
        <d v="2011-07-24T00:00:00"/>
        <d v="2010-12-03T00:00:00"/>
        <d v="2012-12-18T00:00:00"/>
        <d v="2017-12-19T00:00:00"/>
        <d v="2013-04-14T00:00:00"/>
        <d v="2019-03-06T00:00:00"/>
        <d v="2018-10-21T00:00:00"/>
        <d v="2017-07-19T00:00:00"/>
        <d v="2010-07-06T00:00:00"/>
        <d v="2013-10-21T00:00:00"/>
        <d v="2011-09-23T00:00:00"/>
        <d v="2018-02-10T00:00:00"/>
        <d v="2016-10-14T00:00:00"/>
        <d v="2010-03-28T00:00:00"/>
        <d v="2014-12-28T00:00:00"/>
        <d v="2014-04-28T00:00:00"/>
        <d v="2013-12-31T00:00:00"/>
        <d v="2018-02-11T00:00:00"/>
        <d v="2018-01-27T00:00:00"/>
        <d v="2013-05-15T00:00:00"/>
        <d v="2015-11-23T00:00:00"/>
        <d v="2019-04-14T00:00:00"/>
        <d v="2015-05-18T00:00:00"/>
        <d v="2012-05-02T00:00:00"/>
        <d v="2019-03-11T00:00:00"/>
        <d v="2018-06-26T00:00:00"/>
        <d v="2014-12-16T00:00:00"/>
        <d v="2013-06-25T00:00:00"/>
        <d v="2011-06-26T00:00:00"/>
        <d v="2015-03-09T00:00:00"/>
        <d v="2017-07-29T00:00:00"/>
        <d v="2010-03-11T00:00:00"/>
        <d v="2014-10-01T00:00:00"/>
        <d v="2012-02-24T00:00:00"/>
        <d v="2019-12-12T00:00:00"/>
        <d v="2014-08-04T00:00:00"/>
        <d v="2019-06-10T00:00:00"/>
        <d v="2018-03-09T00:00:00"/>
        <d v="2017-04-20T00:00:00"/>
        <d v="2016-02-03T00:00:00"/>
        <d v="2010-08-16T00:00:00"/>
        <d v="2019-11-17T00:00:00"/>
        <d v="2013-07-01T00:00:00"/>
        <d v="2010-06-07T00:00:00"/>
        <d v="2019-06-29T00:00:00"/>
        <d v="2012-03-22T00:00:00"/>
        <d v="2014-06-10T00:00:00"/>
        <d v="2017-05-21T00:00:00"/>
        <d v="2016-12-20T00:00:00"/>
        <d v="2015-01-01T00:00:00"/>
        <d v="2016-03-15T00:00:00"/>
        <d v="2013-05-01T00:00:00"/>
        <d v="2013-03-12T00:00:00"/>
        <d v="2012-07-27T00:00:00"/>
        <d v="2013-03-08T00:00:00"/>
        <d v="2013-04-09T00:00:00"/>
        <d v="2012-05-05T00:00:00"/>
        <d v="2018-05-31T00:00:00"/>
        <d v="2019-07-25T00:00:00"/>
        <d v="2014-07-05T00:00:00"/>
        <d v="2013-12-06T00:00:00"/>
        <d v="2011-12-23T00:00:00"/>
        <d v="2017-05-05T00:00:00"/>
        <d v="2018-02-23T00:00:00"/>
        <d v="2019-04-19T00:00:00"/>
        <d v="2016-08-23T00:00:00"/>
        <d v="2012-07-03T00:00:00"/>
        <d v="2010-03-04T00:00:00"/>
        <d v="2010-04-26T00:00:00"/>
        <d v="2010-11-23T00:00:00"/>
        <d v="2016-02-05T00:00:00"/>
        <d v="2013-11-23T00:00:00"/>
        <d v="2014-05-10T00:00:00"/>
        <d v="2010-08-31T00:00:00"/>
        <d v="2013-11-11T00:00:00"/>
        <d v="2018-01-25T00:00:00"/>
        <d v="2013-07-24T00:00:00"/>
        <d v="2018-08-17T00:00:00"/>
        <d v="2018-06-08T00:00:00"/>
        <d v="2010-08-24T00:00:00"/>
        <d v="2018-08-30T00:00:00"/>
        <d v="2013-09-22T00:00:00"/>
        <d v="2019-07-01T00:00:00"/>
        <d v="2018-05-05T00:00:00"/>
        <d v="2015-06-10T00:00:00"/>
        <d v="2016-01-22T00:00:00"/>
        <d v="2013-09-11T00:00:00"/>
        <d v="2016-01-08T00:00:00"/>
        <d v="2019-12-25T00:00:00"/>
        <d v="2018-09-17T00:00:00"/>
        <d v="2015-01-25T00:00:00"/>
        <d v="2016-04-01T00:00:00"/>
        <d v="2013-05-28T00:00:00"/>
        <d v="2012-02-29T00:00:00"/>
        <d v="2014-12-20T00:00:00"/>
        <d v="2016-11-26T00:00:00"/>
        <d v="2011-01-02T00:00:00"/>
        <d v="2016-12-19T00:00:00"/>
        <d v="2014-04-02T00:00:00"/>
        <d v="2011-09-06T00:00:00"/>
        <d v="2015-10-02T00:00:00"/>
        <d v="2016-02-24T00:00:00"/>
        <d v="2016-08-02T00:00:00"/>
        <d v="2011-11-18T00:00:00"/>
        <d v="2011-10-17T00:00:00"/>
        <d v="2018-11-13T00:00:00"/>
        <d v="2015-03-15T00:00:00"/>
        <d v="2011-11-15T00:00:00"/>
        <d v="2014-07-10T00:00:00"/>
        <d v="2010-07-15T00:00:00"/>
        <d v="2011-01-11T00:00:00"/>
        <d v="2015-06-19T00:00:00"/>
        <d v="2015-09-28T00:00:00"/>
        <d v="2019-12-07T00:00:00"/>
        <d v="2017-11-01T00:00:00"/>
        <d v="2011-03-11T00:00:00"/>
        <d v="2011-12-01T00:00:00"/>
        <d v="2011-08-07T00:00:00"/>
        <d v="2014-02-26T00:00:00"/>
        <d v="2011-04-29T00:00:00"/>
        <d v="2012-02-20T00:00:00"/>
        <d v="2012-04-25T00:00:00"/>
        <d v="2010-03-18T00:00:00"/>
        <d v="2010-11-17T00:00:00"/>
        <d v="2015-07-05T00:00:00"/>
        <d v="2014-12-21T00:00:00"/>
        <d v="2010-07-14T00:00:00"/>
        <d v="2014-05-30T00:00:00"/>
        <d v="2014-03-26T00:00:00"/>
        <d v="2016-06-27T00:00:00"/>
        <d v="2010-03-16T00:00:00"/>
        <d v="2016-03-05T00:00:00"/>
        <d v="2010-06-15T00:00:00"/>
        <d v="2015-02-12T00:00:00"/>
        <d v="2013-07-30T00:00:00"/>
        <d v="2019-04-18T00:00:00"/>
        <d v="2011-01-22T00:00:00"/>
        <d v="2016-03-07T00:00:00"/>
        <d v="2014-03-23T00:00:00"/>
        <d v="2019-01-16T00:00:00"/>
        <d v="2012-12-16T00:00:00"/>
        <d v="2013-07-25T00:00:00"/>
        <d v="2010-10-23T00:00:00"/>
        <d v="2017-08-26T00:00:00"/>
        <d v="2017-01-11T00:00:00"/>
        <d v="2016-04-29T00:00:00"/>
        <d v="2013-09-20T00:00:00"/>
        <d v="2014-06-04T00:00:00"/>
        <d v="2013-05-02T00:00:00"/>
        <d v="2011-05-06T00:00:00"/>
        <d v="2016-07-08T00:00:00"/>
        <d v="2016-09-13T00:00:00"/>
        <d v="2018-04-15T00:00:00"/>
        <d v="2015-07-16T00:00:00"/>
        <d v="2020-01-27T00:00:00"/>
        <d v="2010-09-28T00:00:00"/>
        <d v="2010-06-16T00:00:00"/>
        <d v="2010-10-04T00:00:00"/>
        <d v="2016-07-06T00:00:00"/>
        <d v="2019-05-01T00:00:00"/>
        <d v="2019-03-26T00:00:00"/>
        <d v="2014-11-02T00:00:00"/>
        <d v="2017-03-25T00:00:00"/>
        <d v="2013-02-09T00:00:00"/>
        <d v="2012-01-18T00:00:00"/>
        <d v="2016-11-14T00:00:00"/>
        <d v="2010-07-27T00:00:00"/>
        <d v="2018-07-28T00:00:00"/>
        <d v="2016-01-18T00:00:00"/>
        <d v="2017-02-20T00:00:00"/>
        <d v="2018-12-17T00:00:00"/>
        <d v="2017-03-01T00:00:00"/>
        <d v="2018-12-18T00:00:00"/>
        <d v="2018-09-26T00:00:00"/>
        <d v="2013-03-13T00:00:00"/>
        <d v="2018-04-09T00:00:00"/>
        <d v="2017-07-06T00:00:00"/>
        <d v="2010-10-20T00:00:00"/>
        <d v="2014-07-08T00:00:00"/>
        <d v="2014-02-22T00:00:00"/>
        <d v="2016-08-05T00:00:00"/>
        <d v="2016-04-08T00:00:00"/>
        <d v="2017-03-02T00:00:00"/>
        <d v="2017-12-28T00:00:00"/>
        <d v="2017-12-27T00:00:00"/>
        <d v="2015-08-30T00:00:00"/>
        <d v="2015-08-21T00:00:00"/>
        <d v="2012-03-28T00:00:00"/>
        <d v="2018-12-09T00:00:00"/>
        <d v="2010-10-07T00:00:00"/>
        <d v="2011-07-09T00:00:00"/>
        <d v="2013-08-30T00:00:00"/>
        <d v="2014-09-10T00:00:00"/>
        <d v="2012-08-01T00:00:00"/>
        <d v="2017-06-26T00:00:00"/>
        <d v="2010-07-31T00:00:00"/>
        <d v="2018-03-21T00:00:00"/>
        <d v="2016-04-15T00:00:00"/>
        <d v="2011-08-19T00:00:00"/>
        <d v="2019-09-11T00:00:00"/>
        <d v="2012-09-26T00:00:00"/>
        <d v="2016-07-10T00:00:00"/>
        <d v="2019-10-18T00:00:00"/>
        <d v="2019-12-14T00:00:00"/>
        <d v="2011-12-21T00:00:00"/>
        <d v="2013-12-11T00:00:00"/>
        <d v="2018-09-16T00:00:00"/>
        <d v="2010-06-29T00:00:00"/>
        <d v="2015-08-23T00:00:00"/>
        <d v="2018-03-27T00:00:00"/>
        <d v="2017-03-12T00:00:00"/>
        <d v="2019-01-10T00:00:00"/>
        <d v="2013-10-29T00:00:00"/>
        <d v="2011-11-27T00:00:00"/>
        <d v="2012-10-03T00:00:00"/>
        <d v="2019-07-09T00:00:00"/>
        <d v="2017-10-17T00:00:00"/>
        <d v="2017-11-27T00:00:00"/>
        <d v="2015-11-14T00:00:00"/>
        <d v="2015-04-20T00:00:00"/>
        <d v="2018-03-31T00:00:00"/>
        <d v="2011-11-24T00:00:00"/>
        <d v="2011-03-27T00:00:00"/>
        <d v="2013-07-22T00:00:00"/>
        <d v="2012-04-21T00:00:00"/>
        <d v="2016-07-04T00:00:00"/>
        <d v="2019-01-06T00:00:00"/>
        <d v="2017-05-22T00:00:00"/>
        <d v="2018-07-14T00:00:00"/>
        <d v="2016-08-22T00:00:00"/>
        <d v="2010-08-07T00:00:00"/>
        <d v="2013-07-10T00:00:00"/>
        <d v="2011-08-22T00:00:00"/>
        <d v="2013-06-17T00:00:00"/>
        <d v="2012-05-29T00:00:00"/>
        <d v="2018-02-21T00:00:00"/>
        <d v="2018-04-04T00:00:00"/>
        <d v="2016-03-02T00:00:00"/>
        <d v="2014-10-22T00:00:00"/>
        <d v="2014-11-15T00:00:00"/>
        <d v="2010-10-25T00:00:00"/>
        <d v="2016-05-25T00:00:00"/>
        <d v="2013-02-04T00:00:00"/>
        <d v="2015-05-23T00:00:00"/>
        <d v="2017-07-23T00:00:00"/>
        <d v="2017-03-22T00:00:00"/>
        <d v="2017-01-28T00:00:00"/>
        <d v="2016-03-30T00:00:00"/>
        <d v="2015-02-20T00:00:00"/>
        <d v="2016-11-11T00:00:00"/>
        <d v="2014-11-16T00:00:00"/>
        <d v="2012-06-29T00:00:00"/>
        <d v="2017-02-03T00:00:00"/>
        <d v="2010-05-23T00:00:00"/>
        <d v="2010-01-19T00:00:00"/>
        <d v="2015-10-21T00:00:00"/>
        <d v="2010-05-30T00:00:00"/>
        <d v="2011-10-09T00:00:00"/>
        <d v="2010-09-02T00:00:00"/>
        <d v="2010-03-01T00:00:00"/>
        <d v="2014-10-08T00:00:00"/>
        <d v="2010-07-01T00:00:00"/>
        <d v="2016-03-17T00:00:00"/>
        <d v="2010-08-05T00:00:00"/>
        <d v="2012-10-28T00:00:00"/>
        <d v="2015-01-20T00:00:00"/>
        <d v="2011-05-12T00:00:00"/>
        <d v="2014-10-24T00:00:00"/>
        <d v="2018-02-05T00:00:00"/>
        <d v="2019-08-01T00:00:00"/>
        <d v="2017-07-22T00:00:00"/>
        <d v="2012-11-28T00:00:00"/>
        <d v="2012-05-08T00:00:00"/>
        <d v="2011-05-13T00:00:00"/>
        <d v="2017-04-15T00:00:00"/>
        <d v="2015-10-06T00:00:00"/>
        <d v="2013-08-15T00:00:00"/>
        <d v="2014-04-14T00:00:00"/>
        <d v="2019-01-26T00:00:00"/>
        <d v="2019-02-09T00:00:00"/>
        <d v="2017-04-13T00:00:00"/>
        <d v="2016-05-23T00:00:00"/>
        <d v="2014-11-06T00:00:00"/>
        <d v="2019-07-04T00:00:00"/>
        <d v="2011-08-13T00:00:00"/>
        <d v="2015-08-14T00:00:00"/>
        <d v="2016-07-22T00:00:00"/>
        <d v="2010-10-31T00:00:00"/>
        <d v="2011-03-01T00:00:00"/>
        <d v="2013-12-17T00:00:00"/>
        <d v="2016-03-06T00:00:00"/>
        <d v="2011-05-21T00:00:00"/>
        <d v="2014-05-27T00:00:00"/>
        <d v="2010-02-14T00:00:00"/>
        <d v="2016-12-11T00:00:00"/>
        <d v="2013-06-26T00:00:00"/>
        <d v="2017-12-22T00:00:00"/>
        <d v="2016-11-01T00:00:00"/>
        <d v="2014-08-08T00:00:00"/>
        <d v="2018-12-30T00:00:00"/>
        <d v="2012-05-31T00:00:00"/>
        <d v="2016-01-30T00:00:00"/>
        <d v="2019-12-31T00:00:00"/>
        <d v="2019-01-27T00:00:00"/>
        <d v="2018-01-02T00:00:00"/>
        <d v="2012-03-05T00:00:00"/>
        <d v="2019-10-15T00:00:00"/>
        <d v="2016-05-17T00:00:00"/>
        <d v="2012-08-14T00:00:00"/>
        <d v="2017-11-28T00:00:00"/>
        <d v="2016-01-09T00:00:00"/>
        <d v="2012-08-27T00:00:00"/>
        <d v="2016-05-27T00:00:00"/>
        <d v="2017-11-29T00:00:00"/>
        <d v="2019-05-04T00:00:00"/>
        <d v="2019-01-21T00:00:00"/>
        <d v="2012-11-24T00:00:00"/>
        <d v="2017-02-28T00:00:00"/>
        <d v="2014-02-28T00:00:00"/>
        <d v="2010-06-19T00:00:00"/>
        <d v="2010-12-13T00:00:00"/>
        <d v="2011-05-03T00:00:00"/>
        <d v="2015-06-09T00:00:00"/>
        <d v="2018-01-03T00:00:00"/>
        <d v="2012-03-26T00:00:00"/>
        <d v="2015-10-22T00:00:00"/>
        <d v="2011-02-14T00:00:00"/>
        <d v="2015-02-28T00:00:00"/>
        <d v="2010-02-05T00:00:00"/>
        <d v="2018-09-27T00:00:00"/>
        <d v="2014-03-17T00:00:00"/>
        <d v="2014-07-16T00:00:00"/>
        <d v="2016-02-19T00:00:00"/>
        <d v="2018-06-15T00:00:00"/>
        <d v="2018-08-26T00:00:00"/>
        <d v="2012-01-22T00:00:00"/>
        <d v="2018-05-15T00:00:00"/>
        <d v="2018-07-21T00:00:00"/>
        <d v="2018-01-07T00:00:00"/>
        <d v="2010-06-12T00:00:00"/>
        <d v="2012-02-09T00:00:00"/>
        <d v="2011-11-19T00:00:00"/>
        <d v="2011-07-16T00:00:00"/>
        <d v="2011-06-20T00:00:00"/>
        <d v="2019-11-18T00:00:00"/>
        <d v="2011-06-18T00:00:00"/>
        <d v="2012-04-24T00:00:00"/>
        <d v="2012-02-05T00:00:00"/>
        <d v="2018-04-21T00:00:00"/>
        <d v="2013-03-01T00:00:00"/>
        <d v="2019-02-19T00:00:00"/>
        <d v="2010-03-21T00:00:00"/>
        <d v="2011-08-01T00:00:00"/>
        <d v="2015-06-17T00:00:00"/>
        <d v="2016-08-19T00:00:00"/>
        <d v="2014-09-15T00:00:00"/>
        <d v="2011-05-08T00:00:00"/>
        <d v="2018-10-09T00:00:00"/>
        <d v="2013-10-12T00:00:00"/>
        <d v="2010-06-21T00:00:00"/>
        <d v="2014-01-08T00:00:00"/>
        <d v="2010-04-23T00:00:00"/>
        <d v="2011-01-13T00:00:00"/>
        <d v="2019-06-08T00:00:00"/>
        <d v="2016-07-26T00:00:00"/>
        <d v="2020-01-15T00:00:00"/>
        <d v="2017-02-22T00:00:00"/>
        <d v="2019-07-21T00:00:00"/>
        <d v="2015-01-21T00:00:00"/>
        <d v="2010-05-25T00:00:00"/>
        <d v="2014-05-04T00:00:00"/>
        <d v="2010-06-06T00:00:00"/>
        <d v="2010-08-26T00:00:00"/>
        <d v="2015-07-17T00:00:00"/>
        <d v="2017-04-11T00:00:00"/>
        <d v="2014-03-12T00:00:00"/>
        <d v="2019-06-24T00:00:00"/>
        <d v="2011-12-03T00:00:00"/>
        <d v="2010-05-21T00:00:00"/>
        <d v="2015-06-15T00:00:00"/>
        <d v="2013-07-11T00:00:00"/>
        <d v="2018-02-03T00:00:00"/>
        <d v="2011-07-14T00:00:00"/>
        <d v="2019-12-16T00:00:00"/>
        <d v="2013-10-07T00:00:00"/>
        <d v="2014-09-19T00:00:00"/>
        <d v="2018-07-17T00:00:00"/>
        <d v="2017-05-13T00:00:00"/>
        <d v="2011-04-27T00:00:00"/>
        <d v="2015-01-22T00:00:00"/>
        <d v="2019-09-09T00:00:00"/>
        <d v="2012-09-05T00:00:00"/>
        <d v="2019-05-12T00:00:00"/>
        <d v="2013-08-04T00:00:00"/>
        <d v="2014-12-18T00:00:00"/>
        <d v="2011-06-28T00:00:00"/>
        <d v="2017-10-14T00:00:00"/>
        <d v="2019-02-07T00:00:00"/>
        <d v="2012-02-12T00:00:00"/>
        <d v="2019-10-31T00:00:00"/>
        <d v="2017-09-22T00:00:00"/>
        <d v="2012-07-12T00:00:00"/>
        <d v="2013-12-29T00:00:00"/>
        <d v="2017-05-03T00:00:00"/>
        <d v="2015-02-25T00:00:00"/>
        <d v="2014-06-28T00:00:00"/>
        <d v="2014-03-11T00:00:00"/>
        <d v="2013-04-08T00:00:00"/>
        <d v="2016-02-22T00:00:00"/>
        <d v="2015-07-24T00:00:00"/>
        <d v="2019-07-22T00:00:00"/>
        <d v="2015-11-26T00:00:00"/>
        <d v="2018-06-12T00:00:00"/>
        <d v="2011-05-07T00:00:00"/>
        <d v="2012-12-01T00:00:00"/>
        <d v="2011-01-09T00:00:00"/>
        <d v="2011-01-25T00:00:00"/>
        <d v="2012-04-05T00:00:00"/>
        <d v="2011-06-16T00:00:00"/>
        <d v="2014-09-26T00:00:00"/>
        <d v="2014-12-12T00:00:00"/>
        <d v="2015-04-18T00:00:00"/>
        <d v="2019-04-16T00:00:00"/>
        <d v="2016-12-26T00:00:00"/>
        <d v="2016-08-09T00:00:00"/>
        <d v="2015-12-20T00:00:00"/>
        <d v="2012-11-25T00:00:00"/>
        <d v="2015-12-22T00:00:00"/>
        <d v="2012-02-16T00:00:00"/>
        <d v="2016-02-08T00:00:00"/>
        <d v="2011-02-17T00:00:00"/>
        <d v="2013-11-14T00:00:00"/>
        <d v="2011-03-05T00:00:00"/>
        <d v="2015-05-11T00:00:00"/>
        <d v="2017-06-15T00:00:00"/>
        <d v="2019-12-22T00:00:00"/>
        <d v="2011-05-09T00:00:00"/>
        <d v="2013-10-08T00:00:00"/>
        <d v="2014-06-02T00:00:00"/>
        <d v="2010-12-10T00:00:00"/>
        <d v="2015-11-29T00:00:00"/>
        <d v="2011-01-28T00:00:00"/>
        <d v="2018-02-07T00:00:00"/>
        <d v="2016-11-12T00:00:00"/>
        <d v="2015-10-30T00:00:00"/>
        <d v="2017-12-25T00:00:00"/>
        <d v="2011-07-19T00:00:00"/>
        <d v="2019-08-04T00:00:00"/>
        <d v="2017-04-27T00:00:00"/>
        <d v="2014-09-25T00:00:00"/>
        <d v="2018-05-07T00:00:00"/>
        <d v="2015-12-24T00:00:00"/>
        <d v="2014-10-17T00:00:00"/>
        <d v="2018-11-04T00:00:00"/>
        <d v="2013-01-02T00:00:00"/>
        <d v="2014-01-20T00:00:00"/>
        <d v="2010-02-11T00:00:00"/>
        <d v="2016-06-29T00:00:00"/>
        <m/>
      </sharedItems>
      <fieldGroup par="22"/>
    </cacheField>
    <cacheField name="Date Ended Conversion" numFmtId="164">
      <sharedItems containsNonDate="0" containsDate="1" containsString="0" containsBlank="1" minDate="2010-01-09T00:00:00" maxDate="2020-02-11T00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Months (Date Created Conversion)" numFmtId="0" databaseField="0">
      <fieldGroup base="13">
        <rangePr groupBy="months" startDate="2010-01-09T00:00:00" endDate="2020-01-28T00:00:00"/>
        <groupItems count="14">
          <s v="&lt;1/9/20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1/28/2020"/>
        </groupItems>
      </fieldGroup>
    </cacheField>
    <cacheField name="Quarters (Date Created Conversion)" numFmtId="0" databaseField="0">
      <fieldGroup base="13">
        <rangePr groupBy="quarters" startDate="2010-01-09T00:00:00" endDate="2020-01-28T00:00:00"/>
        <groupItems count="6">
          <s v="&lt;1/9/2010"/>
          <s v="1사분기"/>
          <s v="2사분기"/>
          <s v="3사분기"/>
          <s v="4사분기"/>
          <s v="&gt;1/28/2020"/>
        </groupItems>
      </fieldGroup>
    </cacheField>
    <cacheField name="Years (Date Created Conversion)" numFmtId="0" databaseField="0">
      <fieldGroup base="13">
        <rangePr groupBy="years" startDate="2010-01-09T00:00:00" endDate="2020-01-28T00:00:00"/>
        <groupItems count="13">
          <s v="&lt;1/9/2010"/>
          <s v="2010년"/>
          <s v="2011년"/>
          <s v="2012년"/>
          <s v="2013년"/>
          <s v="2014년"/>
          <s v="2015년"/>
          <s v="2016년"/>
          <s v="2017년"/>
          <s v="2018년"/>
          <s v="2019년"/>
          <s v="2020년"/>
          <s v="&gt;1/28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x v="0"/>
    <d v="2015-12-15T00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x v="1"/>
    <d v="2014-08-21T00:00: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1614035087719"/>
    <x v="2"/>
    <s v="AUD"/>
    <n v="1384668000"/>
    <n v="1384840800"/>
    <x v="2"/>
    <d v="2013-11-19T00:00: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0833333333333"/>
    <x v="1"/>
    <s v="USD"/>
    <n v="1565499600"/>
    <n v="1568955600"/>
    <x v="3"/>
    <d v="2019-09-20T00:00: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39622641509436"/>
    <x v="1"/>
    <s v="USD"/>
    <n v="1547964000"/>
    <n v="1548309600"/>
    <x v="4"/>
    <d v="2019-01-24T00:00: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3333333333329"/>
    <x v="3"/>
    <s v="DKK"/>
    <n v="1346130000"/>
    <n v="1347080400"/>
    <x v="5"/>
    <d v="2012-09-08T00:00: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55555555555557"/>
    <x v="4"/>
    <s v="GBP"/>
    <n v="1505278800"/>
    <n v="1505365200"/>
    <x v="6"/>
    <d v="2017-09-14T00:00: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3832599118943"/>
    <x v="3"/>
    <s v="DKK"/>
    <n v="1439442000"/>
    <n v="1439614800"/>
    <x v="7"/>
    <d v="2015-08-15T00:00: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0.997175141242938"/>
    <x v="3"/>
    <s v="DKK"/>
    <n v="1281330000"/>
    <n v="1281502800"/>
    <x v="8"/>
    <d v="2010-08-11T00:00: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09090909090907"/>
    <x v="1"/>
    <s v="USD"/>
    <n v="1379566800"/>
    <n v="1383804000"/>
    <x v="9"/>
    <d v="2013-11-07T00:00: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x v="10"/>
    <d v="2010-10-01T00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222222222223"/>
    <x v="1"/>
    <s v="USD"/>
    <n v="1285045200"/>
    <n v="1285563600"/>
    <x v="11"/>
    <d v="2010-09-27T00:00: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4545454545454"/>
    <x v="1"/>
    <s v="USD"/>
    <n v="1571720400"/>
    <n v="1572411600"/>
    <x v="12"/>
    <d v="2019-10-30T00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"/>
    <x v="1"/>
    <n v="98"/>
    <n v="105.05102040816327"/>
    <x v="1"/>
    <s v="USD"/>
    <n v="1465621200"/>
    <n v="1466658000"/>
    <x v="13"/>
    <d v="2016-06-23T00:00: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44999999999996"/>
    <x v="1"/>
    <s v="USD"/>
    <n v="1331013600"/>
    <n v="1333342800"/>
    <x v="14"/>
    <d v="2012-04-02T00:00: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86725663716811"/>
    <x v="1"/>
    <s v="USD"/>
    <n v="1575957600"/>
    <n v="1576303200"/>
    <x v="15"/>
    <d v="2019-12-14T00:00: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x v="16"/>
    <d v="2014-02-13T00:00: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236989591674"/>
    <x v="1"/>
    <s v="USD"/>
    <n v="1294812000"/>
    <n v="1294898400"/>
    <x v="17"/>
    <d v="2011-01-13T00:00: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03703703703701"/>
    <x v="1"/>
    <s v="USD"/>
    <n v="1536382800"/>
    <n v="1537074000"/>
    <x v="18"/>
    <d v="2018-09-16T00:00: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.001483679525222"/>
    <x v="1"/>
    <s v="USD"/>
    <n v="1551679200"/>
    <n v="1553490000"/>
    <x v="19"/>
    <d v="2019-03-25T00:00:00"/>
    <b v="0"/>
    <b v="1"/>
    <s v="theater/plays"/>
    <x v="3"/>
    <x v="3"/>
  </r>
  <r>
    <n v="20"/>
    <s v="Reeves, Thompson and Richardson"/>
    <s v="Proactive composite alliance"/>
    <n v="131800"/>
    <n v="147936"/>
    <n v="112"/>
    <x v="1"/>
    <n v="1396"/>
    <n v="105.97134670487107"/>
    <x v="1"/>
    <s v="USD"/>
    <n v="1406523600"/>
    <n v="1406523600"/>
    <x v="20"/>
    <d v="2014-07-28T00:00: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55555555555557"/>
    <x v="1"/>
    <s v="USD"/>
    <n v="1313384400"/>
    <n v="1316322000"/>
    <x v="21"/>
    <d v="2011-09-18T00:00: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4943820224717"/>
    <x v="1"/>
    <s v="USD"/>
    <n v="1522731600"/>
    <n v="1524027600"/>
    <x v="22"/>
    <d v="2018-04-18T00:00: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2535211267606"/>
    <x v="4"/>
    <s v="GBP"/>
    <n v="1550124000"/>
    <n v="1554699600"/>
    <x v="23"/>
    <d v="2019-04-08T00:00:00"/>
    <b v="0"/>
    <b v="0"/>
    <s v="film &amp; video/documentary"/>
    <x v="4"/>
    <x v="4"/>
  </r>
  <r>
    <n v="24"/>
    <s v="Scott, Wilson and Martin"/>
    <s v="Cross-platform intermediate frame"/>
    <n v="92400"/>
    <n v="104257"/>
    <n v="113"/>
    <x v="1"/>
    <n v="2673"/>
    <n v="39.003741114852225"/>
    <x v="1"/>
    <s v="USD"/>
    <n v="1403326800"/>
    <n v="1403499600"/>
    <x v="24"/>
    <d v="2014-06-23T00:00: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0674846625772"/>
    <x v="1"/>
    <s v="USD"/>
    <n v="1305694800"/>
    <n v="1307422800"/>
    <x v="25"/>
    <d v="2011-06-07T00:00: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09459459459457"/>
    <x v="1"/>
    <s v="USD"/>
    <n v="1533013200"/>
    <n v="1535346000"/>
    <x v="26"/>
    <d v="2018-08-27T00:00: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x v="27"/>
    <d v="2015-10-11T00:00: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1.997747747747745"/>
    <x v="1"/>
    <s v="USD"/>
    <n v="1265695200"/>
    <n v="1267682400"/>
    <x v="28"/>
    <d v="2010-03-04T00:00: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.000622665006233"/>
    <x v="5"/>
    <s v="CHF"/>
    <n v="1532062800"/>
    <n v="1535518800"/>
    <x v="29"/>
    <d v="2018-08-29T00:00: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426356589147"/>
    <x v="1"/>
    <s v="USD"/>
    <n v="1558674000"/>
    <n v="1559106000"/>
    <x v="30"/>
    <d v="2019-05-29T00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x v="31"/>
    <d v="2016-02-02T00:00: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.004334633723452"/>
    <x v="6"/>
    <s v="EUR"/>
    <n v="1515564000"/>
    <n v="1517896800"/>
    <x v="32"/>
    <d v="2018-02-06T00:00: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.000184535892231"/>
    <x v="1"/>
    <s v="USD"/>
    <n v="1412485200"/>
    <n v="1415685600"/>
    <x v="33"/>
    <d v="2014-11-11T00:00: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x v="34"/>
    <d v="2017-03-28T00:00: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3893129770996"/>
    <x v="3"/>
    <s v="DKK"/>
    <n v="1547877600"/>
    <n v="1551506400"/>
    <x v="35"/>
    <d v="2019-03-02T00:00: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25"/>
    <x v="1"/>
    <s v="USD"/>
    <n v="1298700000"/>
    <n v="1300856400"/>
    <x v="36"/>
    <d v="2011-03-23T00:00: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196261682242"/>
    <x v="1"/>
    <s v="USD"/>
    <n v="1570338000"/>
    <n v="1573192800"/>
    <x v="37"/>
    <d v="2019-11-08T00:00: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1194029850742"/>
    <x v="1"/>
    <s v="USD"/>
    <n v="1287378000"/>
    <n v="1287810000"/>
    <x v="38"/>
    <d v="2010-10-23T00:00: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25"/>
    <x v="3"/>
    <s v="DKK"/>
    <n v="1361772000"/>
    <n v="1362978000"/>
    <x v="39"/>
    <d v="2013-03-11T00:00: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1414141414145"/>
    <x v="1"/>
    <s v="USD"/>
    <n v="1275714000"/>
    <n v="1277355600"/>
    <x v="40"/>
    <d v="2010-06-24T00:00: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342342342343"/>
    <x v="6"/>
    <s v="EUR"/>
    <n v="1346734800"/>
    <n v="1348981200"/>
    <x v="41"/>
    <d v="2012-09-30T00:00:00"/>
    <b v="0"/>
    <b v="1"/>
    <s v="music/rock"/>
    <x v="1"/>
    <x v="1"/>
  </r>
  <r>
    <n v="42"/>
    <s v="Werner-Bryant"/>
    <s v="Virtual uniform frame"/>
    <n v="1800"/>
    <n v="7991"/>
    <n v="444"/>
    <x v="1"/>
    <n v="222"/>
    <n v="35.995495495495497"/>
    <x v="1"/>
    <s v="USD"/>
    <n v="1309755600"/>
    <n v="1310533200"/>
    <x v="42"/>
    <d v="2011-07-13T00:00: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6.998873148744366"/>
    <x v="1"/>
    <s v="USD"/>
    <n v="1406178000"/>
    <n v="1407560400"/>
    <x v="43"/>
    <d v="2014-08-09T00:00: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122448979592"/>
    <x v="3"/>
    <s v="DKK"/>
    <n v="1552798800"/>
    <n v="1552885200"/>
    <x v="44"/>
    <d v="2019-03-18T00:00: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75"/>
    <x v="1"/>
    <s v="USD"/>
    <n v="1478062800"/>
    <n v="1479362400"/>
    <x v="45"/>
    <d v="2016-11-17T00:00:00"/>
    <b v="0"/>
    <b v="1"/>
    <s v="theater/plays"/>
    <x v="3"/>
    <x v="3"/>
  </r>
  <r>
    <n v="46"/>
    <s v="Vaughn, Hunt and Caldwell"/>
    <s v="Virtual grid-enabled task-force"/>
    <n v="3700"/>
    <n v="4247"/>
    <n v="115"/>
    <x v="1"/>
    <n v="92"/>
    <n v="46.163043478260867"/>
    <x v="1"/>
    <s v="USD"/>
    <n v="1278565200"/>
    <n v="1280552400"/>
    <x v="46"/>
    <d v="2010-07-31T00:00: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45637583892618"/>
    <x v="1"/>
    <s v="USD"/>
    <n v="1396069200"/>
    <n v="1398661200"/>
    <x v="47"/>
    <d v="2014-04-28T00:00: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07815713698065"/>
    <x v="1"/>
    <s v="USD"/>
    <n v="1435208400"/>
    <n v="1436245200"/>
    <x v="48"/>
    <d v="2015-07-07T00:00: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59405940594061"/>
    <x v="1"/>
    <s v="USD"/>
    <n v="1571547600"/>
    <n v="1575439200"/>
    <x v="49"/>
    <d v="2019-12-04T00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x v="50"/>
    <d v="2013-08-29T00:00: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06816632583508"/>
    <x v="4"/>
    <s v="GBP"/>
    <n v="1332824400"/>
    <n v="1334206800"/>
    <x v="51"/>
    <d v="2012-04-12T00:00: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86666666666669"/>
    <x v="1"/>
    <s v="USD"/>
    <n v="1284526800"/>
    <n v="1284872400"/>
    <x v="52"/>
    <d v="2010-09-19T00:00: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19617224880386"/>
    <x v="1"/>
    <s v="USD"/>
    <n v="1400562000"/>
    <n v="1403931600"/>
    <x v="53"/>
    <d v="2014-06-28T00:00: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333333333333"/>
    <x v="1"/>
    <s v="USD"/>
    <n v="1520748000"/>
    <n v="1521262800"/>
    <x v="54"/>
    <d v="2018-03-17T00:00: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4122137404576"/>
    <x v="1"/>
    <s v="USD"/>
    <n v="1532926800"/>
    <n v="1533358800"/>
    <x v="55"/>
    <d v="2018-08-04T00:00: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79268292682926"/>
    <x v="1"/>
    <s v="USD"/>
    <n v="1420869600"/>
    <n v="1421474400"/>
    <x v="56"/>
    <d v="2015-01-17T00:00: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59701492537314"/>
    <x v="1"/>
    <s v="USD"/>
    <n v="1504242000"/>
    <n v="1505278800"/>
    <x v="57"/>
    <d v="2017-09-13T00:00: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1611374407583"/>
    <x v="1"/>
    <s v="USD"/>
    <n v="1442811600"/>
    <n v="1443934800"/>
    <x v="58"/>
    <d v="2015-10-04T00:00: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859375"/>
    <x v="1"/>
    <s v="USD"/>
    <n v="1497243600"/>
    <n v="1498539600"/>
    <x v="59"/>
    <d v="2017-06-27T00:00: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4.998125000000002"/>
    <x v="0"/>
    <s v="CAD"/>
    <n v="1342501200"/>
    <n v="1342760400"/>
    <x v="60"/>
    <d v="2012-07-20T00:00: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.001775410563695"/>
    <x v="0"/>
    <s v="CAD"/>
    <n v="1298268000"/>
    <n v="1301720400"/>
    <x v="61"/>
    <d v="2011-04-02T00:00: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0160642570278"/>
    <x v="1"/>
    <s v="USD"/>
    <n v="1433480400"/>
    <n v="1433566800"/>
    <x v="62"/>
    <d v="2015-06-06T00:00: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x v="63"/>
    <d v="2017-05-04T00:00: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4736842105263"/>
    <x v="1"/>
    <s v="USD"/>
    <n v="1530507600"/>
    <n v="1531803600"/>
    <x v="64"/>
    <d v="2018-07-17T00:00: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38135593220339"/>
    <x v="1"/>
    <s v="USD"/>
    <n v="1296108000"/>
    <n v="1296712800"/>
    <x v="65"/>
    <d v="2011-02-03T00:00: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1666666666667"/>
    <x v="1"/>
    <s v="USD"/>
    <n v="1428469200"/>
    <n v="1428901200"/>
    <x v="66"/>
    <d v="2015-04-13T00:00: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.001722017220171"/>
    <x v="4"/>
    <s v="GBP"/>
    <n v="1264399200"/>
    <n v="1264831200"/>
    <x v="67"/>
    <d v="2010-01-30T00:00:00"/>
    <b v="0"/>
    <b v="1"/>
    <s v="technology/wearables"/>
    <x v="2"/>
    <x v="8"/>
  </r>
  <r>
    <n v="68"/>
    <s v="Moreno-Turner"/>
    <s v="Inverse multi-tasking installation"/>
    <n v="5700"/>
    <n v="14508"/>
    <n v="255"/>
    <x v="1"/>
    <n v="246"/>
    <n v="58.975609756097562"/>
    <x v="6"/>
    <s v="EUR"/>
    <n v="1501131600"/>
    <n v="1505192400"/>
    <x v="68"/>
    <d v="2017-09-12T00:00: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352941176471"/>
    <x v="1"/>
    <s v="USD"/>
    <n v="1292738400"/>
    <n v="1295676000"/>
    <x v="69"/>
    <d v="2011-01-22T00:00: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3.995555555555555"/>
    <x v="6"/>
    <s v="EUR"/>
    <n v="1288674000"/>
    <n v="1292911200"/>
    <x v="70"/>
    <d v="2010-12-21T00:00: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15789473684205"/>
    <x v="1"/>
    <s v="USD"/>
    <n v="1575093600"/>
    <n v="1575439200"/>
    <x v="71"/>
    <d v="2019-12-04T00:00: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1481481481481"/>
    <x v="1"/>
    <s v="USD"/>
    <n v="1435726800"/>
    <n v="1438837200"/>
    <x v="72"/>
    <d v="2015-08-06T00:00: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4772727272727"/>
    <x v="1"/>
    <s v="USD"/>
    <n v="1480226400"/>
    <n v="1480485600"/>
    <x v="73"/>
    <d v="2016-11-30T00:00: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88235294117646"/>
    <x v="4"/>
    <s v="GBP"/>
    <n v="1459054800"/>
    <n v="1459141200"/>
    <x v="74"/>
    <d v="2016-03-28T00:00: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17647058823533"/>
    <x v="1"/>
    <s v="USD"/>
    <n v="1531630800"/>
    <n v="1532322000"/>
    <x v="75"/>
    <d v="2018-07-23T00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.00296912114014"/>
    <x v="1"/>
    <s v="USD"/>
    <n v="1421992800"/>
    <n v="1426222800"/>
    <x v="76"/>
    <d v="2015-03-13T00:00: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2857142857139"/>
    <x v="1"/>
    <s v="USD"/>
    <n v="1285563600"/>
    <n v="1286773200"/>
    <x v="77"/>
    <d v="2010-10-11T00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18181818181816"/>
    <x v="1"/>
    <s v="USD"/>
    <n v="1523854800"/>
    <n v="1523941200"/>
    <x v="78"/>
    <d v="2018-04-17T00:00: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.004773269689736"/>
    <x v="1"/>
    <s v="USD"/>
    <n v="1529125200"/>
    <n v="1529557200"/>
    <x v="79"/>
    <d v="2018-06-21T00:00: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2598425196852"/>
    <x v="1"/>
    <s v="USD"/>
    <n v="1503982800"/>
    <n v="1506574800"/>
    <x v="80"/>
    <d v="2017-09-28T00:00: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09489051094897"/>
    <x v="1"/>
    <s v="USD"/>
    <n v="1511416800"/>
    <n v="1513576800"/>
    <x v="81"/>
    <d v="2017-12-18T00:00: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3333333333337"/>
    <x v="4"/>
    <s v="GBP"/>
    <n v="1547704800"/>
    <n v="1548309600"/>
    <x v="82"/>
    <d v="2019-01-24T00:00: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39.996000000000002"/>
    <x v="1"/>
    <s v="USD"/>
    <n v="1469682000"/>
    <n v="1471582800"/>
    <x v="83"/>
    <d v="2016-08-19T00:00: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36898395722"/>
    <x v="1"/>
    <s v="USD"/>
    <n v="1343451600"/>
    <n v="1344315600"/>
    <x v="84"/>
    <d v="2012-08-07T00:00: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3380281690144"/>
    <x v="2"/>
    <s v="AUD"/>
    <n v="1315717200"/>
    <n v="1316408400"/>
    <x v="85"/>
    <d v="2011-09-19T00:00: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08374384236456"/>
    <x v="1"/>
    <s v="USD"/>
    <n v="1430715600"/>
    <n v="1431838800"/>
    <x v="86"/>
    <d v="2015-05-17T00:00: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2941970310384"/>
    <x v="2"/>
    <s v="AUD"/>
    <n v="1299564000"/>
    <n v="1300510800"/>
    <x v="87"/>
    <d v="2011-03-19T00:00: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106194690266"/>
    <x v="1"/>
    <s v="USD"/>
    <n v="1429160400"/>
    <n v="1431061200"/>
    <x v="88"/>
    <d v="2015-05-08T00:00:00"/>
    <b v="0"/>
    <b v="0"/>
    <s v="publishing/translations"/>
    <x v="5"/>
    <x v="18"/>
  </r>
  <r>
    <n v="89"/>
    <s v="White, Singleton and Zimmerman"/>
    <s v="Monitored scalable knowledgebase"/>
    <n v="3400"/>
    <n v="8588"/>
    <n v="253"/>
    <x v="1"/>
    <n v="96"/>
    <n v="89.458333333333329"/>
    <x v="1"/>
    <s v="USD"/>
    <n v="1271307600"/>
    <n v="1271480400"/>
    <x v="89"/>
    <d v="2010-04-17T00:00: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49056603773583"/>
    <x v="1"/>
    <s v="USD"/>
    <n v="1456380000"/>
    <n v="1456380000"/>
    <x v="90"/>
    <d v="2016-02-25T00:00: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09.99705449189985"/>
    <x v="6"/>
    <s v="EUR"/>
    <n v="1470459600"/>
    <n v="1472878800"/>
    <x v="91"/>
    <d v="2016-09-03T00:00: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6586345381526"/>
    <x v="5"/>
    <s v="CHF"/>
    <n v="1277269200"/>
    <n v="1277355600"/>
    <x v="92"/>
    <d v="2010-06-24T00:00: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7.99508196721311"/>
    <x v="1"/>
    <s v="USD"/>
    <n v="1350709200"/>
    <n v="1351054800"/>
    <x v="93"/>
    <d v="2012-10-24T00:00: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27777777777777"/>
    <x v="4"/>
    <s v="GBP"/>
    <n v="1554613200"/>
    <n v="1555563600"/>
    <x v="94"/>
    <d v="2019-04-18T00:00:00"/>
    <b v="0"/>
    <b v="0"/>
    <s v="technology/web"/>
    <x v="2"/>
    <x v="2"/>
  </r>
  <r>
    <n v="95"/>
    <s v="Sanchez LLC"/>
    <s v="Stand-alone system-worthy standardization"/>
    <n v="900"/>
    <n v="1017"/>
    <n v="113"/>
    <x v="1"/>
    <n v="27"/>
    <n v="37.666666666666664"/>
    <x v="1"/>
    <s v="USD"/>
    <n v="1571029200"/>
    <n v="1571634000"/>
    <x v="95"/>
    <d v="2019-10-21T00:00: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4.999141999141997"/>
    <x v="1"/>
    <s v="USD"/>
    <n v="1299736800"/>
    <n v="1300856400"/>
    <x v="96"/>
    <d v="2011-03-23T00:00: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061946902655"/>
    <x v="1"/>
    <s v="USD"/>
    <n v="1435208400"/>
    <n v="1439874000"/>
    <x v="48"/>
    <d v="2015-08-18T00:00: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09016393442622"/>
    <x v="2"/>
    <s v="AUD"/>
    <n v="1437973200"/>
    <n v="1438318800"/>
    <x v="97"/>
    <d v="2015-07-31T00:00: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463414634147"/>
    <x v="1"/>
    <s v="USD"/>
    <n v="1416895200"/>
    <n v="1419400800"/>
    <x v="98"/>
    <d v="2014-12-24T00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x v="99"/>
    <d v="2011-11-06T00:00:00"/>
    <b v="0"/>
    <b v="0"/>
    <s v="theater/plays"/>
    <x v="3"/>
    <x v="3"/>
  </r>
  <r>
    <n v="101"/>
    <s v="Douglas LLC"/>
    <s v="Reduced heuristic moratorium"/>
    <n v="900"/>
    <n v="9193"/>
    <n v="1021"/>
    <x v="1"/>
    <n v="164"/>
    <n v="56.054878048780488"/>
    <x v="1"/>
    <s v="USD"/>
    <n v="1424498400"/>
    <n v="1425103200"/>
    <x v="100"/>
    <d v="2015-02-28T00:00: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17857142857142"/>
    <x v="1"/>
    <s v="USD"/>
    <n v="1526274000"/>
    <n v="1526878800"/>
    <x v="101"/>
    <d v="2018-05-21T00:00: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3513513513516"/>
    <x v="6"/>
    <s v="EUR"/>
    <n v="1287896400"/>
    <n v="1288674000"/>
    <x v="102"/>
    <d v="2010-11-02T00:00: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05216484089729"/>
    <x v="1"/>
    <s v="USD"/>
    <n v="1495515600"/>
    <n v="1495602000"/>
    <x v="103"/>
    <d v="2017-05-24T00:00: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315789473684"/>
    <x v="1"/>
    <s v="USD"/>
    <n v="1364878800"/>
    <n v="1366434000"/>
    <x v="104"/>
    <d v="2013-04-20T00:00: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78911564625844"/>
    <x v="1"/>
    <s v="USD"/>
    <n v="1567918800"/>
    <n v="1568350800"/>
    <x v="105"/>
    <d v="2019-09-13T00:00: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895348837209298"/>
    <x v="1"/>
    <s v="USD"/>
    <n v="1524459600"/>
    <n v="1525928400"/>
    <x v="106"/>
    <d v="2018-05-10T00:00: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7831325301204"/>
    <x v="1"/>
    <s v="USD"/>
    <n v="1333688400"/>
    <n v="1336885200"/>
    <x v="107"/>
    <d v="2012-05-13T00:00: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1666666666667"/>
    <x v="1"/>
    <s v="USD"/>
    <n v="1389506400"/>
    <n v="1389679200"/>
    <x v="108"/>
    <d v="2014-01-14T00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3108108108112"/>
    <x v="1"/>
    <s v="USD"/>
    <n v="1536642000"/>
    <n v="1538283600"/>
    <x v="109"/>
    <d v="2018-09-30T00:00: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414201183432"/>
    <x v="1"/>
    <s v="USD"/>
    <n v="1348290000"/>
    <n v="1348808400"/>
    <x v="110"/>
    <d v="2012-09-28T00:00: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x v="111"/>
    <d v="2014-09-08T00:00: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38931297709928"/>
    <x v="1"/>
    <s v="USD"/>
    <n v="1505192400"/>
    <n v="1505797200"/>
    <x v="112"/>
    <d v="2017-09-19T00:00: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079365079364"/>
    <x v="1"/>
    <s v="USD"/>
    <n v="1554786000"/>
    <n v="1554872400"/>
    <x v="113"/>
    <d v="2019-04-10T00:00: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.001815980629537"/>
    <x v="6"/>
    <s v="EUR"/>
    <n v="1510898400"/>
    <n v="1513922400"/>
    <x v="114"/>
    <d v="2017-12-22T00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x v="115"/>
    <d v="2015-09-19T00:00: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2727272727272"/>
    <x v="1"/>
    <s v="USD"/>
    <n v="1316667600"/>
    <n v="1317186000"/>
    <x v="116"/>
    <d v="2011-09-28T00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1044776119406"/>
    <x v="1"/>
    <s v="USD"/>
    <n v="1390716000"/>
    <n v="1391234400"/>
    <x v="117"/>
    <d v="2014-02-01T00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220779220779"/>
    <x v="1"/>
    <s v="USD"/>
    <n v="1402894800"/>
    <n v="1404363600"/>
    <x v="118"/>
    <d v="2014-07-03T00:00: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.003367003367003"/>
    <x v="1"/>
    <s v="USD"/>
    <n v="1429246800"/>
    <n v="1429592400"/>
    <x v="119"/>
    <d v="2015-04-21T00:00: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43300110742"/>
    <x v="1"/>
    <s v="USD"/>
    <n v="1412485200"/>
    <n v="1413608400"/>
    <x v="33"/>
    <d v="2014-10-18T00:00: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5.997933274284026"/>
    <x v="1"/>
    <s v="USD"/>
    <n v="1417068000"/>
    <n v="1419400800"/>
    <x v="120"/>
    <d v="2014-12-24T00:00: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87915407854985"/>
    <x v="0"/>
    <s v="CAD"/>
    <n v="1448344800"/>
    <n v="1448604000"/>
    <x v="121"/>
    <d v="2015-11-27T00:00: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340425531915"/>
    <x v="6"/>
    <s v="EUR"/>
    <n v="1557723600"/>
    <n v="1562302800"/>
    <x v="122"/>
    <d v="2019-07-05T00:00: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3333333333336"/>
    <x v="1"/>
    <s v="USD"/>
    <n v="1537333200"/>
    <n v="1537678800"/>
    <x v="123"/>
    <d v="2018-09-23T00:00: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4444444444443"/>
    <x v="1"/>
    <s v="USD"/>
    <n v="1471150800"/>
    <n v="1473570000"/>
    <x v="124"/>
    <d v="2016-09-11T00:00: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6875"/>
    <x v="0"/>
    <s v="CAD"/>
    <n v="1273640400"/>
    <n v="1273899600"/>
    <x v="125"/>
    <d v="2010-05-15T00:00: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7669172932327"/>
    <x v="1"/>
    <s v="USD"/>
    <n v="1282885200"/>
    <n v="1284008400"/>
    <x v="126"/>
    <d v="2010-09-09T00:00: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2727272727269"/>
    <x v="2"/>
    <s v="AUD"/>
    <n v="1422943200"/>
    <n v="1425103200"/>
    <x v="127"/>
    <d v="2015-02-28T00:00: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.001876172607879"/>
    <x v="3"/>
    <s v="DKK"/>
    <n v="1319605200"/>
    <n v="1320991200"/>
    <x v="128"/>
    <d v="2011-11-11T00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7.996725337699544"/>
    <x v="4"/>
    <s v="GBP"/>
    <n v="1385704800"/>
    <n v="1386828000"/>
    <x v="129"/>
    <d v="2013-12-12T00:00:00"/>
    <b v="0"/>
    <b v="0"/>
    <s v="technology/web"/>
    <x v="2"/>
    <x v="2"/>
  </r>
  <r>
    <n v="132"/>
    <s v="Flowers and Sons"/>
    <s v="Virtual static core"/>
    <n v="3300"/>
    <n v="3834"/>
    <n v="116"/>
    <x v="1"/>
    <n v="89"/>
    <n v="43.078651685393261"/>
    <x v="1"/>
    <s v="USD"/>
    <n v="1515736800"/>
    <n v="1517119200"/>
    <x v="130"/>
    <d v="2018-01-28T00:00: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5597484276729"/>
    <x v="1"/>
    <s v="USD"/>
    <n v="1313125200"/>
    <n v="1315026000"/>
    <x v="131"/>
    <d v="2011-09-03T00:00: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87234042553197"/>
    <x v="5"/>
    <s v="CHF"/>
    <n v="1308459600"/>
    <n v="1312693200"/>
    <x v="132"/>
    <d v="2011-08-07T00:00: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05982905982903"/>
    <x v="1"/>
    <s v="USD"/>
    <n v="1362636000"/>
    <n v="1363064400"/>
    <x v="133"/>
    <d v="2013-03-12T00:00: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3793103448278"/>
    <x v="1"/>
    <s v="USD"/>
    <n v="1402117200"/>
    <n v="1403154000"/>
    <x v="134"/>
    <d v="2014-06-19T00:00: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x v="135"/>
    <d v="2010-10-12T00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x v="136"/>
    <d v="2012-10-04T00:00: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36809815950917"/>
    <x v="1"/>
    <s v="USD"/>
    <n v="1429592400"/>
    <n v="1430974800"/>
    <x v="137"/>
    <d v="2015-05-07T00:00: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247311827953"/>
    <x v="1"/>
    <s v="USD"/>
    <n v="1519538400"/>
    <n v="1519970400"/>
    <x v="138"/>
    <d v="2018-03-02T00:00: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2530345471522"/>
    <x v="1"/>
    <s v="USD"/>
    <n v="1434085200"/>
    <n v="1434603600"/>
    <x v="139"/>
    <d v="2015-06-18T00:00:00"/>
    <b v="0"/>
    <b v="0"/>
    <s v="technology/web"/>
    <x v="2"/>
    <x v="2"/>
  </r>
  <r>
    <n v="142"/>
    <s v="Figueroa Ltd"/>
    <s v="Expanded solution-oriented benchmark"/>
    <n v="5000"/>
    <n v="11502"/>
    <n v="230"/>
    <x v="1"/>
    <n v="117"/>
    <n v="98.307692307692307"/>
    <x v="1"/>
    <s v="USD"/>
    <n v="1333688400"/>
    <n v="1337230800"/>
    <x v="107"/>
    <d v="2012-05-17T00:00: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x v="140"/>
    <d v="2010-07-18T00:00: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66666666666663"/>
    <x v="1"/>
    <s v="USD"/>
    <n v="1560747600"/>
    <n v="1561438800"/>
    <x v="141"/>
    <d v="2019-06-25T00:00: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583333333329"/>
    <x v="5"/>
    <s v="CHF"/>
    <n v="1410066000"/>
    <n v="1410498000"/>
    <x v="142"/>
    <d v="2014-09-12T00:00: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4705882352942"/>
    <x v="1"/>
    <s v="USD"/>
    <n v="1320732000"/>
    <n v="1322460000"/>
    <x v="143"/>
    <d v="2011-11-28T00:00:00"/>
    <b v="0"/>
    <b v="0"/>
    <s v="theater/plays"/>
    <x v="3"/>
    <x v="3"/>
  </r>
  <r>
    <n v="147"/>
    <s v="Moss, Norman and Dunlap"/>
    <s v="Upgradable upward-trending workforce"/>
    <n v="8300"/>
    <n v="9337"/>
    <n v="112"/>
    <x v="1"/>
    <n v="199"/>
    <n v="46.91959798994975"/>
    <x v="1"/>
    <s v="USD"/>
    <n v="1465794000"/>
    <n v="1466312400"/>
    <x v="144"/>
    <d v="2016-06-19T00:00: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8691588785046"/>
    <x v="1"/>
    <s v="USD"/>
    <n v="1500958800"/>
    <n v="1501736400"/>
    <x v="145"/>
    <d v="2017-08-03T00:00:00"/>
    <b v="0"/>
    <b v="0"/>
    <s v="technology/wearables"/>
    <x v="2"/>
    <x v="8"/>
  </r>
  <r>
    <n v="149"/>
    <s v="Payne, Oliver and Burch"/>
    <s v="Managed fresh-thinking flexibility"/>
    <n v="6200"/>
    <n v="13632"/>
    <n v="220"/>
    <x v="1"/>
    <n v="195"/>
    <n v="69.907692307692301"/>
    <x v="1"/>
    <s v="USD"/>
    <n v="1357020000"/>
    <n v="1361512800"/>
    <x v="146"/>
    <d v="2013-02-22T00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x v="147"/>
    <d v="2018-12-17T00:00: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1588275391958"/>
    <x v="1"/>
    <s v="USD"/>
    <n v="1402290000"/>
    <n v="1406696400"/>
    <x v="148"/>
    <d v="2014-07-30T00:00:00"/>
    <b v="0"/>
    <b v="0"/>
    <s v="music/electric music"/>
    <x v="1"/>
    <x v="5"/>
  </r>
  <r>
    <n v="152"/>
    <s v="Bowen, Mcdonald and Hall"/>
    <s v="User-centric fault-tolerant task-force"/>
    <n v="41500"/>
    <n v="175573"/>
    <n v="423"/>
    <x v="1"/>
    <n v="3376"/>
    <n v="52.006220379146917"/>
    <x v="1"/>
    <s v="USD"/>
    <n v="1487311200"/>
    <n v="1487916000"/>
    <x v="149"/>
    <d v="2017-02-24T00:00: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.000176025347649"/>
    <x v="1"/>
    <s v="USD"/>
    <n v="1350622800"/>
    <n v="1351141200"/>
    <x v="150"/>
    <d v="2012-10-25T00:00: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2492917847028"/>
    <x v="1"/>
    <s v="USD"/>
    <n v="1463029200"/>
    <n v="1465016400"/>
    <x v="151"/>
    <d v="2016-06-04T00:00: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68174204355108"/>
    <x v="1"/>
    <s v="USD"/>
    <n v="1269493200"/>
    <n v="1270789200"/>
    <x v="152"/>
    <d v="2010-04-09T00:00: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3192612137203"/>
    <x v="2"/>
    <s v="AUD"/>
    <n v="1570251600"/>
    <n v="1572325200"/>
    <x v="153"/>
    <d v="2019-10-29T00:00: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3333333333334"/>
    <x v="2"/>
    <s v="AUD"/>
    <n v="1388383200"/>
    <n v="1389420000"/>
    <x v="154"/>
    <d v="2014-01-11T00:00: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073170731707"/>
    <x v="1"/>
    <s v="USD"/>
    <n v="1449554400"/>
    <n v="1449640800"/>
    <x v="155"/>
    <d v="2015-12-09T00:00: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0933552992861"/>
    <x v="1"/>
    <s v="USD"/>
    <n v="1553662800"/>
    <n v="1555218000"/>
    <x v="156"/>
    <d v="2019-04-14T00:00: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76829268292678"/>
    <x v="1"/>
    <s v="USD"/>
    <n v="1556341200"/>
    <n v="1557723600"/>
    <x v="157"/>
    <d v="2019-05-13T00:00: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3333333333336"/>
    <x v="1"/>
    <s v="USD"/>
    <n v="1442984400"/>
    <n v="1443502800"/>
    <x v="158"/>
    <d v="2015-09-29T00:00: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78343949044589"/>
    <x v="5"/>
    <s v="CHF"/>
    <n v="1544248800"/>
    <n v="1546840800"/>
    <x v="159"/>
    <d v="2019-01-07T00:00:00"/>
    <b v="0"/>
    <b v="0"/>
    <s v="music/rock"/>
    <x v="1"/>
    <x v="1"/>
  </r>
  <r>
    <n v="163"/>
    <s v="Burton-Watkins"/>
    <s v="Extended reciprocal circuit"/>
    <n v="3500"/>
    <n v="8864"/>
    <n v="253"/>
    <x v="1"/>
    <n v="246"/>
    <n v="36.032520325203251"/>
    <x v="1"/>
    <s v="USD"/>
    <n v="1508475600"/>
    <n v="1512712800"/>
    <x v="160"/>
    <d v="2017-12-08T00:00: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068767908309"/>
    <x v="1"/>
    <s v="USD"/>
    <n v="1507438800"/>
    <n v="1507525200"/>
    <x v="161"/>
    <d v="2017-10-09T00:00: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05985634477256"/>
    <x v="1"/>
    <s v="USD"/>
    <n v="1501563600"/>
    <n v="1504328400"/>
    <x v="162"/>
    <d v="2017-09-02T00:00: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77868852459019"/>
    <x v="1"/>
    <s v="USD"/>
    <n v="1292997600"/>
    <n v="1293343200"/>
    <x v="163"/>
    <d v="2010-12-26T00:00: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x v="164"/>
    <d v="2013-06-20T00:00: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1.996858638743454"/>
    <x v="3"/>
    <s v="DKK"/>
    <n v="1550815200"/>
    <n v="1552798800"/>
    <x v="165"/>
    <d v="2019-03-17T00:00: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8161010260455"/>
    <x v="1"/>
    <s v="USD"/>
    <n v="1339909200"/>
    <n v="1342328400"/>
    <x v="166"/>
    <d v="2012-07-15T00:00: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07462686567166"/>
    <x v="1"/>
    <s v="USD"/>
    <n v="1501736400"/>
    <n v="1502341200"/>
    <x v="167"/>
    <d v="2017-08-10T00:00: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x v="168"/>
    <d v="2014-04-11T00:00: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x v="169"/>
    <d v="2014-08-03T00:00: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334401024984"/>
    <x v="1"/>
    <s v="USD"/>
    <n v="1368853200"/>
    <n v="1369371600"/>
    <x v="170"/>
    <d v="2013-05-24T00:00:00"/>
    <b v="0"/>
    <b v="0"/>
    <s v="theater/plays"/>
    <x v="3"/>
    <x v="3"/>
  </r>
  <r>
    <n v="174"/>
    <s v="Santos, Black and Donovan"/>
    <s v="Pre-emptive scalable access"/>
    <n v="600"/>
    <n v="5368"/>
    <n v="895"/>
    <x v="1"/>
    <n v="48"/>
    <n v="111.83333333333333"/>
    <x v="1"/>
    <s v="USD"/>
    <n v="1444021200"/>
    <n v="1444107600"/>
    <x v="171"/>
    <d v="2015-10-06T00:00: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1.999115044247787"/>
    <x v="1"/>
    <s v="USD"/>
    <n v="1472619600"/>
    <n v="1474261200"/>
    <x v="172"/>
    <d v="2016-09-19T00:00: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115089514067"/>
    <x v="1"/>
    <s v="USD"/>
    <n v="1472878800"/>
    <n v="1473656400"/>
    <x v="173"/>
    <d v="2016-09-12T00:00: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8.997079225994888"/>
    <x v="1"/>
    <s v="USD"/>
    <n v="1289800800"/>
    <n v="1291960800"/>
    <x v="174"/>
    <d v="2010-12-10T00:00: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85714285714288"/>
    <x v="1"/>
    <s v="USD"/>
    <n v="1505970000"/>
    <n v="1506747600"/>
    <x v="175"/>
    <d v="2017-09-30T00:00: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05654509471306"/>
    <x v="0"/>
    <s v="CAD"/>
    <n v="1363496400"/>
    <n v="1363582800"/>
    <x v="176"/>
    <d v="2013-03-18T00:00: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196487897485"/>
    <x v="2"/>
    <s v="AUD"/>
    <n v="1269234000"/>
    <n v="1269666000"/>
    <x v="177"/>
    <d v="2010-03-27T00:00: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0882352941174"/>
    <x v="1"/>
    <s v="USD"/>
    <n v="1507093200"/>
    <n v="1508648400"/>
    <x v="178"/>
    <d v="2017-10-22T00:00: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8.996383363471971"/>
    <x v="3"/>
    <s v="DKK"/>
    <n v="1560574800"/>
    <n v="1561957200"/>
    <x v="179"/>
    <d v="2019-07-01T00:00: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88372093023258"/>
    <x v="0"/>
    <s v="CAD"/>
    <n v="1284008400"/>
    <n v="1285131600"/>
    <x v="180"/>
    <d v="2010-09-22T00:00: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29411764705884"/>
    <x v="1"/>
    <s v="USD"/>
    <n v="1556859600"/>
    <n v="1556946000"/>
    <x v="181"/>
    <d v="2019-05-04T00:00: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89473684210527"/>
    <x v="1"/>
    <s v="USD"/>
    <n v="1526187600"/>
    <n v="1527138000"/>
    <x v="182"/>
    <d v="2018-05-24T00:00: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06772009029348"/>
    <x v="1"/>
    <s v="USD"/>
    <n v="1400821200"/>
    <n v="1402117200"/>
    <x v="183"/>
    <d v="2014-06-07T00:00:00"/>
    <b v="0"/>
    <b v="0"/>
    <s v="theater/plays"/>
    <x v="3"/>
    <x v="3"/>
  </r>
  <r>
    <n v="187"/>
    <s v="Fox Group"/>
    <s v="Horizontal transitional paradigm"/>
    <n v="60200"/>
    <n v="138384"/>
    <n v="230"/>
    <x v="1"/>
    <n v="1442"/>
    <n v="95.966712898751737"/>
    <x v="0"/>
    <s v="CAD"/>
    <n v="1361599200"/>
    <n v="1364014800"/>
    <x v="184"/>
    <d v="2013-03-23T00:00: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x v="185"/>
    <d v="2014-12-03T00:00: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498866213152"/>
    <x v="1"/>
    <s v="USD"/>
    <n v="1457071200"/>
    <n v="1457071200"/>
    <x v="186"/>
    <d v="2016-03-04T00:00: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x v="187"/>
    <d v="2013-06-05T00:00: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69767441860463"/>
    <x v="6"/>
    <s v="EUR"/>
    <n v="1552366800"/>
    <n v="1552626000"/>
    <x v="188"/>
    <d v="2019-03-15T00:00: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382716049379"/>
    <x v="1"/>
    <s v="USD"/>
    <n v="1403845200"/>
    <n v="1404190800"/>
    <x v="189"/>
    <d v="2014-07-01T00:00: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38461538461537"/>
    <x v="1"/>
    <s v="USD"/>
    <n v="1523163600"/>
    <n v="1523509200"/>
    <x v="190"/>
    <d v="2018-04-12T00:00: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4603174603178"/>
    <x v="1"/>
    <s v="USD"/>
    <n v="1442206800"/>
    <n v="1443589200"/>
    <x v="191"/>
    <d v="2015-09-30T00:00: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7824427480917"/>
    <x v="1"/>
    <s v="USD"/>
    <n v="1532840400"/>
    <n v="1533445200"/>
    <x v="192"/>
    <d v="2018-08-05T00:00: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x v="173"/>
    <d v="2016-09-22T00:00: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0055304172951"/>
    <x v="1"/>
    <s v="USD"/>
    <n v="1498194000"/>
    <n v="1499403600"/>
    <x v="193"/>
    <d v="2017-07-07T00:00: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58333333333336"/>
    <x v="1"/>
    <s v="USD"/>
    <n v="1281070800"/>
    <n v="1283576400"/>
    <x v="194"/>
    <d v="2010-09-04T00:00: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61538461538467"/>
    <x v="1"/>
    <s v="USD"/>
    <n v="1436245200"/>
    <n v="1436590800"/>
    <x v="195"/>
    <d v="2015-07-11T00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x v="152"/>
    <d v="2010-04-05T00:00: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4649681528661"/>
    <x v="1"/>
    <s v="USD"/>
    <n v="1406264400"/>
    <n v="1407819600"/>
    <x v="196"/>
    <d v="2014-08-12T00:00: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2682926829272"/>
    <x v="1"/>
    <s v="USD"/>
    <n v="1317531600"/>
    <n v="1317877200"/>
    <x v="197"/>
    <d v="2011-10-06T00:00: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2.999777678968428"/>
    <x v="2"/>
    <s v="AUD"/>
    <n v="1484632800"/>
    <n v="1484805600"/>
    <x v="198"/>
    <d v="2017-01-19T00:00: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25000000000001"/>
    <x v="1"/>
    <s v="USD"/>
    <n v="1301806800"/>
    <n v="1302670800"/>
    <x v="199"/>
    <d v="2011-04-13T00:00: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74999999999997"/>
    <x v="1"/>
    <s v="USD"/>
    <n v="1539752400"/>
    <n v="1540789200"/>
    <x v="200"/>
    <d v="2018-10-29T00:00: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3333333333336"/>
    <x v="1"/>
    <s v="USD"/>
    <n v="1267250400"/>
    <n v="1268028000"/>
    <x v="201"/>
    <d v="2010-03-08T00:00: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x v="202"/>
    <d v="2018-09-17T00:00: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4900146127615"/>
    <x v="1"/>
    <s v="USD"/>
    <n v="1510207200"/>
    <n v="1512280800"/>
    <x v="203"/>
    <d v="2017-12-03T00:00: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.004950495049506"/>
    <x v="2"/>
    <s v="AUD"/>
    <n v="1462510800"/>
    <n v="1463115600"/>
    <x v="204"/>
    <d v="2016-05-13T00:00: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4247787610619"/>
    <x v="3"/>
    <s v="DKK"/>
    <n v="1488520800"/>
    <n v="1490850000"/>
    <x v="205"/>
    <d v="2017-03-30T00:00: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4615384615381"/>
    <x v="1"/>
    <s v="USD"/>
    <n v="1377579600"/>
    <n v="1379653200"/>
    <x v="206"/>
    <d v="2013-09-20T00:00: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14285714285708"/>
    <x v="1"/>
    <s v="USD"/>
    <n v="1576389600"/>
    <n v="1580364000"/>
    <x v="207"/>
    <d v="2020-01-30T00:00: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39.997435299603637"/>
    <x v="1"/>
    <s v="USD"/>
    <n v="1289019600"/>
    <n v="1289714400"/>
    <x v="208"/>
    <d v="2010-11-14T00:00: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2121212121212"/>
    <x v="1"/>
    <s v="USD"/>
    <n v="1282194000"/>
    <n v="1282712400"/>
    <x v="209"/>
    <d v="2010-08-25T00:00: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25874125874127"/>
    <x v="1"/>
    <s v="USD"/>
    <n v="1550037600"/>
    <n v="1550210400"/>
    <x v="210"/>
    <d v="2019-02-15T00:00: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7851239669421"/>
    <x v="1"/>
    <s v="USD"/>
    <n v="1321941600"/>
    <n v="1322114400"/>
    <x v="211"/>
    <d v="2011-11-24T00:00: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.003211991434689"/>
    <x v="1"/>
    <s v="USD"/>
    <n v="1556427600"/>
    <n v="1557205200"/>
    <x v="212"/>
    <d v="2019-05-07T00:00: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05037783375315"/>
    <x v="4"/>
    <s v="GBP"/>
    <n v="1320991200"/>
    <n v="1323928800"/>
    <x v="213"/>
    <d v="2011-12-15T00:00: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1552956465242"/>
    <x v="1"/>
    <s v="USD"/>
    <n v="1345093200"/>
    <n v="1346130000"/>
    <x v="214"/>
    <d v="2012-08-28T00:00: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35294117647058"/>
    <x v="1"/>
    <s v="USD"/>
    <n v="1309496400"/>
    <n v="1311051600"/>
    <x v="215"/>
    <d v="2011-07-19T00:00: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3116108306566"/>
    <x v="1"/>
    <s v="USD"/>
    <n v="1340254800"/>
    <n v="1340427600"/>
    <x v="216"/>
    <d v="2012-06-23T00:00: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2753623188406"/>
    <x v="1"/>
    <s v="USD"/>
    <n v="1412226000"/>
    <n v="1412312400"/>
    <x v="217"/>
    <d v="2014-10-03T00:00: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66702470461868"/>
    <x v="1"/>
    <s v="USD"/>
    <n v="1458104400"/>
    <n v="1459314000"/>
    <x v="218"/>
    <d v="2016-03-30T00:00: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1.999165275459099"/>
    <x v="1"/>
    <s v="USD"/>
    <n v="1411534800"/>
    <n v="1415426400"/>
    <x v="219"/>
    <d v="2014-11-08T00:00: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29.999659863945578"/>
    <x v="1"/>
    <s v="USD"/>
    <n v="1399093200"/>
    <n v="1399093200"/>
    <x v="220"/>
    <d v="2014-05-03T00:00: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05357142857139"/>
    <x v="1"/>
    <s v="USD"/>
    <n v="1270702800"/>
    <n v="1273899600"/>
    <x v="221"/>
    <d v="2010-05-15T00:00: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182396606575"/>
    <x v="1"/>
    <s v="USD"/>
    <n v="1431666000"/>
    <n v="1432184400"/>
    <x v="222"/>
    <d v="2015-05-21T00:00: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6.998379254457049"/>
    <x v="1"/>
    <s v="USD"/>
    <n v="1472619600"/>
    <n v="1474779600"/>
    <x v="172"/>
    <d v="2016-09-25T00:00: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9333594668758"/>
    <x v="1"/>
    <s v="USD"/>
    <n v="1496293200"/>
    <n v="1500440400"/>
    <x v="223"/>
    <d v="2017-07-19T00:00: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1584158415841"/>
    <x v="1"/>
    <s v="USD"/>
    <n v="1575612000"/>
    <n v="1575612000"/>
    <x v="224"/>
    <d v="2019-12-06T00:00: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2835820895519"/>
    <x v="1"/>
    <s v="USD"/>
    <n v="1369112400"/>
    <n v="1374123600"/>
    <x v="225"/>
    <d v="2013-07-18T00:00: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3478260869563"/>
    <x v="1"/>
    <s v="USD"/>
    <n v="1469422800"/>
    <n v="1469509200"/>
    <x v="226"/>
    <d v="2016-07-26T00:00: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4193548387103"/>
    <x v="1"/>
    <s v="USD"/>
    <n v="1307854800"/>
    <n v="1309237200"/>
    <x v="227"/>
    <d v="2011-06-28T00:00:00"/>
    <b v="0"/>
    <b v="0"/>
    <s v="film &amp; video/animation"/>
    <x v="4"/>
    <x v="10"/>
  </r>
  <r>
    <n v="234"/>
    <s v="Mendoza-Parker"/>
    <s v="Enterprise-wide motivating matrices"/>
    <n v="7500"/>
    <n v="8181"/>
    <n v="109"/>
    <x v="1"/>
    <n v="149"/>
    <n v="54.906040268456373"/>
    <x v="6"/>
    <s v="EUR"/>
    <n v="1503378000"/>
    <n v="1503982800"/>
    <x v="228"/>
    <d v="2017-08-29T00:00: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0869565217391"/>
    <x v="1"/>
    <s v="USD"/>
    <n v="1486965600"/>
    <n v="1487397600"/>
    <x v="229"/>
    <d v="2017-02-18T00:00: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210526315789"/>
    <x v="2"/>
    <s v="AUD"/>
    <n v="1561438800"/>
    <n v="1562043600"/>
    <x v="230"/>
    <d v="2019-07-02T00:00: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1671732522799"/>
    <x v="1"/>
    <s v="USD"/>
    <n v="1398402000"/>
    <n v="1398574800"/>
    <x v="231"/>
    <d v="2014-04-27T00:00: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1546391752578"/>
    <x v="3"/>
    <s v="DKK"/>
    <n v="1513231200"/>
    <n v="1515391200"/>
    <x v="232"/>
    <d v="2018-01-08T00:00: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68292682926827"/>
    <x v="1"/>
    <s v="USD"/>
    <n v="1440824400"/>
    <n v="1441170000"/>
    <x v="233"/>
    <d v="2015-09-02T00:00:00"/>
    <b v="0"/>
    <b v="0"/>
    <s v="technology/wearables"/>
    <x v="2"/>
    <x v="8"/>
  </r>
  <r>
    <n v="240"/>
    <s v="Pitts-Reed"/>
    <s v="Vision-oriented dynamic service-desk"/>
    <n v="29400"/>
    <n v="123124"/>
    <n v="419"/>
    <x v="1"/>
    <n v="1784"/>
    <n v="69.015695067264573"/>
    <x v="1"/>
    <s v="USD"/>
    <n v="1281070800"/>
    <n v="1281157200"/>
    <x v="194"/>
    <d v="2010-08-07T00:00: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7684085510689"/>
    <x v="2"/>
    <s v="AUD"/>
    <n v="1397365200"/>
    <n v="1398229200"/>
    <x v="234"/>
    <d v="2014-04-23T00:00: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15999999999997"/>
    <x v="1"/>
    <s v="USD"/>
    <n v="1494392400"/>
    <n v="1495256400"/>
    <x v="235"/>
    <d v="2017-05-20T00:00: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25210084033617"/>
    <x v="1"/>
    <s v="USD"/>
    <n v="1520143200"/>
    <n v="1520402400"/>
    <x v="236"/>
    <d v="2018-03-07T00:00: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45283018867923"/>
    <x v="1"/>
    <s v="USD"/>
    <n v="1405314000"/>
    <n v="1409806800"/>
    <x v="237"/>
    <d v="2014-09-04T00:00: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3364485981304"/>
    <x v="1"/>
    <s v="USD"/>
    <n v="1396846800"/>
    <n v="1396933200"/>
    <x v="238"/>
    <d v="2014-04-08T00:00: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6486486486484"/>
    <x v="1"/>
    <s v="USD"/>
    <n v="1375678800"/>
    <n v="1376024400"/>
    <x v="239"/>
    <d v="2013-08-09T00:00: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3800424628457"/>
    <x v="1"/>
    <s v="USD"/>
    <n v="1482386400"/>
    <n v="1483682400"/>
    <x v="240"/>
    <d v="2017-01-06T00:00: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05504587155963"/>
    <x v="2"/>
    <s v="AUD"/>
    <n v="1420005600"/>
    <n v="1420437600"/>
    <x v="241"/>
    <d v="2015-01-05T00:00: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.000773395204948"/>
    <x v="1"/>
    <s v="USD"/>
    <n v="1420178400"/>
    <n v="1420783200"/>
    <x v="242"/>
    <d v="2015-01-09T00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x v="67"/>
    <d v="2010-03-01T00:00: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19801980198018"/>
    <x v="1"/>
    <s v="USD"/>
    <n v="1355032800"/>
    <n v="1355205600"/>
    <x v="243"/>
    <d v="2012-12-11T00:00: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254237288136"/>
    <x v="1"/>
    <s v="USD"/>
    <n v="1382677200"/>
    <n v="1383109200"/>
    <x v="244"/>
    <d v="2013-10-30T00:00: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19475655430711"/>
    <x v="0"/>
    <s v="CAD"/>
    <n v="1302238800"/>
    <n v="1303275600"/>
    <x v="245"/>
    <d v="2011-04-20T00:00: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47727272727266"/>
    <x v="1"/>
    <s v="USD"/>
    <n v="1487656800"/>
    <n v="1487829600"/>
    <x v="246"/>
    <d v="2017-02-23T00:00: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.003535651149086"/>
    <x v="1"/>
    <s v="USD"/>
    <n v="1297836000"/>
    <n v="1298268000"/>
    <x v="247"/>
    <d v="2011-02-21T00:00: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333333333333"/>
    <x v="4"/>
    <s v="GBP"/>
    <n v="1453615200"/>
    <n v="1456812000"/>
    <x v="248"/>
    <d v="2016-03-01T00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x v="249"/>
    <d v="2013-03-19T00:00: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2043010752688"/>
    <x v="1"/>
    <s v="USD"/>
    <n v="1481176800"/>
    <n v="1482904800"/>
    <x v="250"/>
    <d v="2016-12-28T00:00: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4782608695656"/>
    <x v="1"/>
    <s v="USD"/>
    <n v="1354946400"/>
    <n v="1356588000"/>
    <x v="251"/>
    <d v="2012-12-27T00:00: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65134099616856"/>
    <x v="1"/>
    <s v="USD"/>
    <n v="1348808400"/>
    <n v="1349845200"/>
    <x v="136"/>
    <d v="2012-10-10T00:00: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36123348017624"/>
    <x v="1"/>
    <s v="USD"/>
    <n v="1282712400"/>
    <n v="1283058000"/>
    <x v="252"/>
    <d v="2010-08-29T00:00: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4392523364486"/>
    <x v="1"/>
    <s v="USD"/>
    <n v="1301979600"/>
    <n v="1304226000"/>
    <x v="253"/>
    <d v="2011-05-01T00:00: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0251256281406"/>
    <x v="1"/>
    <s v="USD"/>
    <n v="1263016800"/>
    <n v="1263016800"/>
    <x v="254"/>
    <d v="2010-01-09T00:00: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.002721335268504"/>
    <x v="1"/>
    <s v="USD"/>
    <n v="1360648800"/>
    <n v="1362031200"/>
    <x v="255"/>
    <d v="2013-02-28T00:00: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27906976744185"/>
    <x v="1"/>
    <s v="USD"/>
    <n v="1451800800"/>
    <n v="1455602400"/>
    <x v="256"/>
    <d v="2016-02-16T00:00: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6.996228786926462"/>
    <x v="6"/>
    <s v="EUR"/>
    <n v="1415340000"/>
    <n v="1418191200"/>
    <x v="257"/>
    <d v="2014-12-10T00:00: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0606936416185"/>
    <x v="2"/>
    <s v="AUD"/>
    <n v="1351054800"/>
    <n v="1352440800"/>
    <x v="258"/>
    <d v="2012-11-09T00:00: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16666666666664"/>
    <x v="1"/>
    <s v="USD"/>
    <n v="1349326800"/>
    <n v="1353304800"/>
    <x v="259"/>
    <d v="2012-11-19T00:00:00"/>
    <b v="0"/>
    <b v="0"/>
    <s v="film &amp; video/documentary"/>
    <x v="4"/>
    <x v="4"/>
  </r>
  <r>
    <n v="269"/>
    <s v="Miles and Sons"/>
    <s v="Persistent attitude-oriented approach"/>
    <n v="3500"/>
    <n v="8842"/>
    <n v="253"/>
    <x v="1"/>
    <n v="87"/>
    <n v="101.63218390804597"/>
    <x v="1"/>
    <s v="USD"/>
    <n v="1548914400"/>
    <n v="1550728800"/>
    <x v="260"/>
    <d v="2019-02-21T00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05291005291006"/>
    <x v="1"/>
    <s v="USD"/>
    <n v="1291269600"/>
    <n v="1291442400"/>
    <x v="261"/>
    <d v="2010-12-04T00:00: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16393442622949"/>
    <x v="1"/>
    <s v="USD"/>
    <n v="1449468000"/>
    <n v="1452146400"/>
    <x v="262"/>
    <d v="2016-01-07T00:00: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1647307286173"/>
    <x v="1"/>
    <s v="USD"/>
    <n v="1562734800"/>
    <n v="1564894800"/>
    <x v="263"/>
    <d v="2019-08-04T00:00: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57446808510639"/>
    <x v="0"/>
    <s v="CAD"/>
    <n v="1505624400"/>
    <n v="1505883600"/>
    <x v="264"/>
    <d v="2017-09-20T00:00: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3333333333331"/>
    <x v="1"/>
    <s v="USD"/>
    <n v="1509948000"/>
    <n v="1510380000"/>
    <x v="265"/>
    <d v="2017-11-11T00:00: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198275862068968"/>
    <x v="1"/>
    <s v="USD"/>
    <n v="1554526800"/>
    <n v="1555218000"/>
    <x v="266"/>
    <d v="2019-04-14T00:00: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0075187969928"/>
    <x v="1"/>
    <s v="USD"/>
    <n v="1334811600"/>
    <n v="1335243600"/>
    <x v="267"/>
    <d v="2012-04-24T00:00: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39759036144579"/>
    <x v="1"/>
    <s v="USD"/>
    <n v="1279515600"/>
    <n v="1279688400"/>
    <x v="268"/>
    <d v="2010-07-21T00:00: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2307692307693"/>
    <x v="1"/>
    <s v="USD"/>
    <n v="1353909600"/>
    <n v="1356069600"/>
    <x v="269"/>
    <d v="2012-12-21T00:00: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0989010989011"/>
    <x v="1"/>
    <s v="USD"/>
    <n v="1535950800"/>
    <n v="1536210000"/>
    <x v="270"/>
    <d v="2018-09-06T00:00: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87277353689571"/>
    <x v="1"/>
    <s v="USD"/>
    <n v="1511244000"/>
    <n v="1511762400"/>
    <x v="271"/>
    <d v="2017-11-27T00:00: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2609117361791"/>
    <x v="1"/>
    <s v="USD"/>
    <n v="1331445600"/>
    <n v="1333256400"/>
    <x v="272"/>
    <d v="2012-04-01T00:00: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40601503759393"/>
    <x v="1"/>
    <s v="USD"/>
    <n v="1480226400"/>
    <n v="1480744800"/>
    <x v="73"/>
    <d v="2016-12-03T00:00: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0344827586206"/>
    <x v="3"/>
    <s v="DKK"/>
    <n v="1464584400"/>
    <n v="1465016400"/>
    <x v="273"/>
    <d v="2016-06-04T00:00: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65151515151516"/>
    <x v="1"/>
    <s v="USD"/>
    <n v="1335848400"/>
    <n v="1336280400"/>
    <x v="274"/>
    <d v="2012-05-06T00:00: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27559055118111"/>
    <x v="1"/>
    <s v="USD"/>
    <n v="1473483600"/>
    <n v="1476766800"/>
    <x v="275"/>
    <d v="2016-10-18T00:00: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8804347826087"/>
    <x v="1"/>
    <s v="USD"/>
    <n v="1479880800"/>
    <n v="1480485600"/>
    <x v="276"/>
    <d v="2016-11-30T00:00: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7386363636364"/>
    <x v="1"/>
    <s v="USD"/>
    <n v="1430197200"/>
    <n v="1430197200"/>
    <x v="277"/>
    <d v="2015-04-28T00:00: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0802919708028"/>
    <x v="3"/>
    <s v="DKK"/>
    <n v="1331701200"/>
    <n v="1331787600"/>
    <x v="278"/>
    <d v="2012-03-15T00:00: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82195845697326"/>
    <x v="0"/>
    <s v="CAD"/>
    <n v="1438578000"/>
    <n v="1438837200"/>
    <x v="279"/>
    <d v="2015-08-06T00:00: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1541850220265"/>
    <x v="1"/>
    <s v="USD"/>
    <n v="1368162000"/>
    <n v="1370926800"/>
    <x v="280"/>
    <d v="2013-06-11T00:00: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3084112149539"/>
    <x v="1"/>
    <s v="USD"/>
    <n v="1318654800"/>
    <n v="1319000400"/>
    <x v="281"/>
    <d v="2011-10-19T00:00: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x v="282"/>
    <d v="2012-04-03T00:00: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125"/>
    <x v="6"/>
    <s v="EUR"/>
    <n v="1286254800"/>
    <n v="1287032400"/>
    <x v="283"/>
    <d v="2010-10-14T00:00: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3497267759565"/>
    <x v="1"/>
    <s v="USD"/>
    <n v="1540530000"/>
    <n v="1541570400"/>
    <x v="284"/>
    <d v="2018-11-07T00:00: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.004712041884815"/>
    <x v="5"/>
    <s v="CHF"/>
    <n v="1381813200"/>
    <n v="1383976800"/>
    <x v="285"/>
    <d v="2013-11-09T00:00:00"/>
    <b v="0"/>
    <b v="0"/>
    <s v="theater/plays"/>
    <x v="3"/>
    <x v="3"/>
  </r>
  <r>
    <n v="296"/>
    <s v="Smith-Hess"/>
    <s v="Grass-roots real-time Local Area Network"/>
    <n v="6100"/>
    <n v="3352"/>
    <n v="55"/>
    <x v="0"/>
    <n v="38"/>
    <n v="88.21052631578948"/>
    <x v="2"/>
    <s v="AUD"/>
    <n v="1548655200"/>
    <n v="1550556000"/>
    <x v="286"/>
    <d v="2019-02-19T00:00: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40384615384613"/>
    <x v="2"/>
    <s v="AUD"/>
    <n v="1389679200"/>
    <n v="1390456800"/>
    <x v="287"/>
    <d v="2014-01-23T00:00: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8333333333329"/>
    <x v="1"/>
    <s v="USD"/>
    <n v="1456466400"/>
    <n v="1458018000"/>
    <x v="288"/>
    <d v="2016-03-15T00:00: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77551020408163"/>
    <x v="1"/>
    <s v="USD"/>
    <n v="1456984800"/>
    <n v="1461819600"/>
    <x v="289"/>
    <d v="2016-04-28T00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x v="290"/>
    <d v="2017-08-31T00:00: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3728813559323"/>
    <x v="1"/>
    <s v="USD"/>
    <n v="1424930400"/>
    <n v="1426395600"/>
    <x v="291"/>
    <d v="2015-03-15T00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4285714285711"/>
    <x v="1"/>
    <s v="USD"/>
    <n v="1535864400"/>
    <n v="1537074000"/>
    <x v="292"/>
    <d v="2018-09-16T00:00: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125"/>
    <x v="1"/>
    <s v="USD"/>
    <n v="1452146400"/>
    <n v="1452578400"/>
    <x v="293"/>
    <d v="2016-01-12T00:00: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67605633802816"/>
    <x v="1"/>
    <s v="USD"/>
    <n v="1470546000"/>
    <n v="1474088400"/>
    <x v="294"/>
    <d v="2016-09-17T00:00: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235294117647"/>
    <x v="1"/>
    <s v="USD"/>
    <n v="1458363600"/>
    <n v="1461906000"/>
    <x v="295"/>
    <d v="2016-04-29T00:00: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28571428571431"/>
    <x v="1"/>
    <s v="USD"/>
    <n v="1500008400"/>
    <n v="1500267600"/>
    <x v="296"/>
    <d v="2017-07-17T00:00: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68133535660087"/>
    <x v="3"/>
    <s v="DKK"/>
    <n v="1338958800"/>
    <n v="1340686800"/>
    <x v="297"/>
    <d v="2012-06-26T00:00: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109589041096"/>
    <x v="1"/>
    <s v="USD"/>
    <n v="1303102800"/>
    <n v="1303189200"/>
    <x v="298"/>
    <d v="2011-04-19T00:00: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x v="299"/>
    <d v="2011-10-11T00:00: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25"/>
    <x v="1"/>
    <s v="USD"/>
    <n v="1270789200"/>
    <n v="1272171600"/>
    <x v="300"/>
    <d v="2010-04-25T00:00:00"/>
    <b v="0"/>
    <b v="0"/>
    <s v="games/video games"/>
    <x v="6"/>
    <x v="11"/>
  </r>
  <r>
    <n v="311"/>
    <s v="Flores PLC"/>
    <s v="Focused real-time help-desk"/>
    <n v="6300"/>
    <n v="12812"/>
    <n v="203"/>
    <x v="1"/>
    <n v="121"/>
    <n v="105.88429752066116"/>
    <x v="1"/>
    <s v="USD"/>
    <n v="1297836000"/>
    <n v="1298872800"/>
    <x v="247"/>
    <d v="2011-02-28T00:00: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8.996525921966864"/>
    <x v="1"/>
    <s v="USD"/>
    <n v="1382677200"/>
    <n v="1383282000"/>
    <x v="244"/>
    <d v="2013-11-01T00:00: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x v="301"/>
    <d v="2012-02-29T00:00: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2556390977442"/>
    <x v="1"/>
    <s v="USD"/>
    <n v="1552366800"/>
    <n v="1552798800"/>
    <x v="188"/>
    <d v="2019-03-17T00:00: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096774193549"/>
    <x v="1"/>
    <s v="USD"/>
    <n v="1400907600"/>
    <n v="1403413200"/>
    <x v="302"/>
    <d v="2014-06-22T00:00: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68518518518519"/>
    <x v="6"/>
    <s v="EUR"/>
    <n v="1574143200"/>
    <n v="1574229600"/>
    <x v="303"/>
    <d v="2019-11-20T00:00: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x v="304"/>
    <d v="2017-05-27T00:00: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17647058823529"/>
    <x v="1"/>
    <s v="USD"/>
    <n v="1392357600"/>
    <n v="1392530400"/>
    <x v="305"/>
    <d v="2014-02-16T00:00: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796875"/>
    <x v="1"/>
    <s v="USD"/>
    <n v="1281589200"/>
    <n v="1283662800"/>
    <x v="306"/>
    <d v="2010-09-05T00:00: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x v="307"/>
    <d v="2011-05-19T00:00: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.000810372771468"/>
    <x v="1"/>
    <s v="USD"/>
    <n v="1301634000"/>
    <n v="1302325200"/>
    <x v="308"/>
    <d v="2011-04-09T00:00: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7.998645510835914"/>
    <x v="1"/>
    <s v="USD"/>
    <n v="1290664800"/>
    <n v="1291788000"/>
    <x v="309"/>
    <d v="2010-12-08T00:00: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15384615384613"/>
    <x v="4"/>
    <s v="GBP"/>
    <n v="1395896400"/>
    <n v="1396069200"/>
    <x v="310"/>
    <d v="2014-03-29T00:00: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1368078175898"/>
    <x v="1"/>
    <s v="USD"/>
    <n v="1434862800"/>
    <n v="1435899600"/>
    <x v="311"/>
    <d v="2015-07-03T00:00: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0821917808225"/>
    <x v="1"/>
    <s v="USD"/>
    <n v="1529125200"/>
    <n v="1531112400"/>
    <x v="79"/>
    <d v="2018-07-09T00:00: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4375"/>
    <x v="1"/>
    <s v="USD"/>
    <n v="1451109600"/>
    <n v="1451628000"/>
    <x v="312"/>
    <d v="2016-01-01T00:00: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3636363636363"/>
    <x v="1"/>
    <s v="USD"/>
    <n v="1566968400"/>
    <n v="1567314000"/>
    <x v="313"/>
    <d v="2019-09-01T00:00: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.004916018025398"/>
    <x v="1"/>
    <s v="USD"/>
    <n v="1543557600"/>
    <n v="1544508000"/>
    <x v="314"/>
    <d v="2018-12-11T00:00: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8672985781991"/>
    <x v="1"/>
    <s v="USD"/>
    <n v="1481522400"/>
    <n v="1482472800"/>
    <x v="315"/>
    <d v="2016-12-23T00:00: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.003610108303249"/>
    <x v="4"/>
    <s v="GBP"/>
    <n v="1512712800"/>
    <n v="1512799200"/>
    <x v="316"/>
    <d v="2017-12-09T00:00:00"/>
    <b v="0"/>
    <b v="0"/>
    <s v="film &amp; video/documentary"/>
    <x v="4"/>
    <x v="4"/>
  </r>
  <r>
    <n v="331"/>
    <s v="Rose-Silva"/>
    <s v="Intuitive static portal"/>
    <n v="3300"/>
    <n v="14643"/>
    <n v="444"/>
    <x v="1"/>
    <n v="190"/>
    <n v="77.068421052631578"/>
    <x v="1"/>
    <s v="USD"/>
    <n v="1324274400"/>
    <n v="1324360800"/>
    <x v="317"/>
    <d v="2011-12-20T00:00: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76595744680844"/>
    <x v="1"/>
    <s v="USD"/>
    <n v="1364446800"/>
    <n v="1364533200"/>
    <x v="318"/>
    <d v="2013-03-29T00:00: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35573122529641"/>
    <x v="1"/>
    <s v="USD"/>
    <n v="1542693600"/>
    <n v="1545112800"/>
    <x v="319"/>
    <d v="2018-12-18T00:00: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0.99550763701707"/>
    <x v="1"/>
    <s v="USD"/>
    <n v="1515564000"/>
    <n v="1516168800"/>
    <x v="32"/>
    <d v="2018-01-17T00:00:00"/>
    <b v="0"/>
    <b v="0"/>
    <s v="music/rock"/>
    <x v="1"/>
    <x v="1"/>
  </r>
  <r>
    <n v="335"/>
    <s v="Jordan-Acosta"/>
    <s v="Operative uniform hub"/>
    <n v="173800"/>
    <n v="198628"/>
    <n v="114"/>
    <x v="1"/>
    <n v="2283"/>
    <n v="87.003066141042481"/>
    <x v="1"/>
    <s v="USD"/>
    <n v="1573797600"/>
    <n v="1574920800"/>
    <x v="320"/>
    <d v="2019-11-28T00:00: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4402985074629"/>
    <x v="1"/>
    <s v="USD"/>
    <n v="1292392800"/>
    <n v="1292479200"/>
    <x v="321"/>
    <d v="2010-12-16T00:00: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45205479452"/>
    <x v="1"/>
    <s v="USD"/>
    <n v="1573452000"/>
    <n v="1573538400"/>
    <x v="322"/>
    <d v="2019-11-12T00:00: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349112426041"/>
    <x v="1"/>
    <s v="USD"/>
    <n v="1317790800"/>
    <n v="1320382800"/>
    <x v="323"/>
    <d v="2011-11-04T00:00: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004626060139"/>
    <x v="0"/>
    <s v="CAD"/>
    <n v="1501650000"/>
    <n v="1502859600"/>
    <x v="324"/>
    <d v="2017-08-16T00:00: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66921119592882"/>
    <x v="1"/>
    <s v="USD"/>
    <n v="1323669600"/>
    <n v="1323756000"/>
    <x v="325"/>
    <d v="2011-12-13T00:00: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90453460620529"/>
    <x v="1"/>
    <s v="USD"/>
    <n v="1440738000"/>
    <n v="1441342800"/>
    <x v="326"/>
    <d v="2015-09-04T00:00: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46341463414629"/>
    <x v="1"/>
    <s v="USD"/>
    <n v="1374296400"/>
    <n v="1375333200"/>
    <x v="327"/>
    <d v="2013-08-01T00:00: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3605442176868"/>
    <x v="1"/>
    <s v="USD"/>
    <n v="1384840800"/>
    <n v="1389420000"/>
    <x v="328"/>
    <d v="2014-01-11T00:00: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0602409638549"/>
    <x v="1"/>
    <s v="USD"/>
    <n v="1516600800"/>
    <n v="1520056800"/>
    <x v="329"/>
    <d v="2018-03-03T00:00: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66767371601208"/>
    <x v="4"/>
    <s v="GBP"/>
    <n v="1436418000"/>
    <n v="1436504400"/>
    <x v="330"/>
    <d v="2015-07-10T00:00: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x v="331"/>
    <d v="2017-10-18T00:00: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05235602094245"/>
    <x v="1"/>
    <s v="USD"/>
    <n v="1423634400"/>
    <n v="1425708000"/>
    <x v="332"/>
    <d v="2015-03-07T00:00: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05742176284812"/>
    <x v="1"/>
    <s v="USD"/>
    <n v="1487224800"/>
    <n v="1488348000"/>
    <x v="333"/>
    <d v="2017-03-01T00:00: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316359696641"/>
    <x v="1"/>
    <s v="USD"/>
    <n v="1500008400"/>
    <n v="1502600400"/>
    <x v="296"/>
    <d v="2017-08-13T00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x v="334"/>
    <d v="2015-06-07T00:00: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09935419771487"/>
    <x v="1"/>
    <s v="USD"/>
    <n v="1440392400"/>
    <n v="1441602000"/>
    <x v="335"/>
    <d v="2015-09-07T00:00: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06060606060606"/>
    <x v="0"/>
    <s v="CAD"/>
    <n v="1446876000"/>
    <n v="1447567200"/>
    <x v="336"/>
    <d v="2015-11-15T00:00:00"/>
    <b v="0"/>
    <b v="0"/>
    <s v="theater/plays"/>
    <x v="3"/>
    <x v="3"/>
  </r>
  <r>
    <n v="353"/>
    <s v="Mills-Roy"/>
    <s v="Profit-focused multi-tasking access"/>
    <n v="33600"/>
    <n v="137961"/>
    <n v="411"/>
    <x v="1"/>
    <n v="1703"/>
    <n v="81.010569583088667"/>
    <x v="1"/>
    <s v="USD"/>
    <n v="1562302800"/>
    <n v="1562389200"/>
    <x v="337"/>
    <d v="2019-07-06T00:00: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x v="338"/>
    <d v="2013-09-10T00:00: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58139534883722"/>
    <x v="1"/>
    <s v="USD"/>
    <n v="1485064800"/>
    <n v="1488520800"/>
    <x v="339"/>
    <d v="2017-03-03T00:00: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75000000000006"/>
    <x v="6"/>
    <s v="EUR"/>
    <n v="1326520800"/>
    <n v="1327298400"/>
    <x v="340"/>
    <d v="2012-01-23T00:00: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170731707317"/>
    <x v="1"/>
    <s v="USD"/>
    <n v="1441256400"/>
    <n v="1443416400"/>
    <x v="341"/>
    <d v="2015-09-28T00:00: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26086956521742"/>
    <x v="0"/>
    <s v="CAD"/>
    <n v="1533877200"/>
    <n v="1534136400"/>
    <x v="342"/>
    <d v="2018-08-13T00:00: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3048128342244"/>
    <x v="1"/>
    <s v="USD"/>
    <n v="1314421200"/>
    <n v="1315026000"/>
    <x v="343"/>
    <d v="2011-09-03T00:00:00"/>
    <b v="0"/>
    <b v="0"/>
    <s v="film &amp; video/animation"/>
    <x v="4"/>
    <x v="10"/>
  </r>
  <r>
    <n v="360"/>
    <s v="Larsen-Chung"/>
    <s v="Right-sized zero tolerance migration"/>
    <n v="59700"/>
    <n v="135132"/>
    <n v="226"/>
    <x v="1"/>
    <n v="2875"/>
    <n v="47.002434782608695"/>
    <x v="4"/>
    <s v="GBP"/>
    <n v="1293861600"/>
    <n v="1295071200"/>
    <x v="344"/>
    <d v="2011-01-15T00:00: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7727272727273"/>
    <x v="1"/>
    <s v="USD"/>
    <n v="1507352400"/>
    <n v="1509426000"/>
    <x v="345"/>
    <d v="2017-10-31T00:00: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15706806282722"/>
    <x v="1"/>
    <s v="USD"/>
    <n v="1296108000"/>
    <n v="1299391200"/>
    <x v="65"/>
    <d v="2011-03-06T00:00: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28057553956833"/>
    <x v="1"/>
    <s v="USD"/>
    <n v="1324965600"/>
    <n v="1325052000"/>
    <x v="346"/>
    <d v="2011-12-28T00:00: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677419354833"/>
    <x v="1"/>
    <s v="USD"/>
    <n v="1520229600"/>
    <n v="1522818000"/>
    <x v="347"/>
    <d v="2018-04-04T00:00: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7678571428571"/>
    <x v="2"/>
    <s v="AUD"/>
    <n v="1482991200"/>
    <n v="1485324000"/>
    <x v="348"/>
    <d v="2017-01-25T00:00: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475247524752"/>
    <x v="1"/>
    <s v="USD"/>
    <n v="1294034400"/>
    <n v="1294120800"/>
    <x v="349"/>
    <d v="2011-01-04T00:00: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3333333333334"/>
    <x v="1"/>
    <s v="USD"/>
    <n v="1413608400"/>
    <n v="1415685600"/>
    <x v="350"/>
    <d v="2014-11-11T00:00: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3786407766985"/>
    <x v="4"/>
    <s v="GBP"/>
    <n v="1286946000"/>
    <n v="1288933200"/>
    <x v="351"/>
    <d v="2010-11-05T00:00: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3766233766232"/>
    <x v="1"/>
    <s v="USD"/>
    <n v="1359871200"/>
    <n v="1363237200"/>
    <x v="352"/>
    <d v="2013-03-14T00:00: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29.997485752598056"/>
    <x v="1"/>
    <s v="USD"/>
    <n v="1555304400"/>
    <n v="1555822800"/>
    <x v="353"/>
    <d v="2019-04-21T00:00: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1948529411768"/>
    <x v="1"/>
    <s v="USD"/>
    <n v="1423375200"/>
    <n v="1427778000"/>
    <x v="354"/>
    <d v="2015-03-31T00:00: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57396449704146"/>
    <x v="1"/>
    <s v="USD"/>
    <n v="1420696800"/>
    <n v="1422424800"/>
    <x v="355"/>
    <d v="2015-01-28T00:00: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921177587846"/>
    <x v="1"/>
    <s v="USD"/>
    <n v="1502946000"/>
    <n v="1503637200"/>
    <x v="356"/>
    <d v="2017-08-25T00:00: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215419501134"/>
    <x v="1"/>
    <s v="USD"/>
    <n v="1547186400"/>
    <n v="1547618400"/>
    <x v="357"/>
    <d v="2019-01-16T00:00:00"/>
    <b v="0"/>
    <b v="1"/>
    <s v="film &amp; video/documentary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n v="1449900000"/>
    <x v="358"/>
    <d v="2015-12-12T00:00: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02290076335885"/>
    <x v="1"/>
    <s v="USD"/>
    <n v="1404622800"/>
    <n v="1405141200"/>
    <x v="359"/>
    <d v="2014-07-12T00:00: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173228346457"/>
    <x v="1"/>
    <s v="USD"/>
    <n v="1571720400"/>
    <n v="1572933600"/>
    <x v="12"/>
    <d v="2019-11-05T00:00:00"/>
    <b v="0"/>
    <b v="0"/>
    <s v="theater/plays"/>
    <x v="3"/>
    <x v="3"/>
  </r>
  <r>
    <n v="378"/>
    <s v="Fleming-Oliver"/>
    <s v="Managed stable function"/>
    <n v="178200"/>
    <n v="24882"/>
    <n v="14"/>
    <x v="0"/>
    <n v="355"/>
    <n v="70.090140845070422"/>
    <x v="1"/>
    <s v="USD"/>
    <n v="1526878800"/>
    <n v="1530162000"/>
    <x v="360"/>
    <d v="2018-06-28T00:00: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1818181818187"/>
    <x v="4"/>
    <s v="GBP"/>
    <n v="1319691600"/>
    <n v="1320904800"/>
    <x v="361"/>
    <d v="2011-11-10T00:00: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4285714285715"/>
    <x v="1"/>
    <s v="USD"/>
    <n v="1371963600"/>
    <n v="1372395600"/>
    <x v="362"/>
    <d v="2013-06-28T00:00: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896774193548389"/>
    <x v="1"/>
    <s v="USD"/>
    <n v="1433739600"/>
    <n v="1437714000"/>
    <x v="363"/>
    <d v="2015-07-24T00:00: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1940298507463"/>
    <x v="1"/>
    <s v="USD"/>
    <n v="1508130000"/>
    <n v="1509771600"/>
    <x v="364"/>
    <d v="2017-11-04T00:00: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26984126984127"/>
    <x v="1"/>
    <s v="USD"/>
    <n v="1550037600"/>
    <n v="1550556000"/>
    <x v="210"/>
    <d v="2019-02-19T00:00: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.004167534903104"/>
    <x v="1"/>
    <s v="USD"/>
    <n v="1486706400"/>
    <n v="1489039200"/>
    <x v="365"/>
    <d v="2017-03-09T00:00: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07915567282325"/>
    <x v="1"/>
    <s v="USD"/>
    <n v="1553835600"/>
    <n v="1556600400"/>
    <x v="366"/>
    <d v="2019-04-30T00:00: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0674157303373"/>
    <x v="1"/>
    <s v="USD"/>
    <n v="1277528400"/>
    <n v="1278565200"/>
    <x v="367"/>
    <d v="2010-07-08T00:00: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160377358491"/>
    <x v="1"/>
    <s v="USD"/>
    <n v="1339477200"/>
    <n v="1339909200"/>
    <x v="368"/>
    <d v="2012-06-17T00:00: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27586206896547"/>
    <x v="5"/>
    <s v="CHF"/>
    <n v="1325656800"/>
    <n v="1325829600"/>
    <x v="369"/>
    <d v="2012-01-06T00:00: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79166666666671"/>
    <x v="1"/>
    <s v="USD"/>
    <n v="1288242000"/>
    <n v="1290578400"/>
    <x v="370"/>
    <d v="2010-11-24T00:00: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x v="371"/>
    <d v="2013-09-28T00:00:00"/>
    <b v="0"/>
    <b v="0"/>
    <s v="photography/photography books"/>
    <x v="7"/>
    <x v="14"/>
  </r>
  <r>
    <n v="391"/>
    <s v="Miller-Patel"/>
    <s v="Mandatory uniform strategy"/>
    <n v="60400"/>
    <n v="4393"/>
    <n v="7"/>
    <x v="0"/>
    <n v="151"/>
    <n v="29.09271523178808"/>
    <x v="1"/>
    <s v="USD"/>
    <n v="1389679200"/>
    <n v="1389852000"/>
    <x v="287"/>
    <d v="2014-01-16T00:00: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06218905472636"/>
    <x v="1"/>
    <s v="USD"/>
    <n v="1294293600"/>
    <n v="1294466400"/>
    <x v="372"/>
    <d v="2011-01-08T00:00: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.004903563255965"/>
    <x v="0"/>
    <s v="CAD"/>
    <n v="1500267600"/>
    <n v="1500354000"/>
    <x v="373"/>
    <d v="2017-07-18T00:00:00"/>
    <b v="0"/>
    <b v="0"/>
    <s v="music/jazz"/>
    <x v="1"/>
    <x v="17"/>
  </r>
  <r>
    <n v="394"/>
    <s v="Noble-Bailey"/>
    <s v="Customizable dynamic info-mediaries"/>
    <n v="800"/>
    <n v="3755"/>
    <n v="469"/>
    <x v="1"/>
    <n v="34"/>
    <n v="110.44117647058823"/>
    <x v="1"/>
    <s v="USD"/>
    <n v="1375074000"/>
    <n v="1375938000"/>
    <x v="374"/>
    <d v="2013-08-08T00:00: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0909090909092"/>
    <x v="1"/>
    <s v="USD"/>
    <n v="1323324000"/>
    <n v="1323410400"/>
    <x v="375"/>
    <d v="2011-12-09T00:00: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2468827930178"/>
    <x v="2"/>
    <s v="AUD"/>
    <n v="1538715600"/>
    <n v="1539406800"/>
    <x v="376"/>
    <d v="2018-10-13T00:00: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19823788546255"/>
    <x v="1"/>
    <s v="USD"/>
    <n v="1369285200"/>
    <n v="1369803600"/>
    <x v="377"/>
    <d v="2013-05-29T00:00: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03252032520325"/>
    <x v="6"/>
    <s v="EUR"/>
    <n v="1525755600"/>
    <n v="1525928400"/>
    <x v="378"/>
    <d v="2018-05-10T00:00: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2316684378325"/>
    <x v="1"/>
    <s v="USD"/>
    <n v="1296626400"/>
    <n v="1297231200"/>
    <x v="379"/>
    <d v="2011-02-09T00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x v="380"/>
    <d v="2013-09-07T00:00: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0200668896321"/>
    <x v="1"/>
    <s v="USD"/>
    <n v="1572152400"/>
    <n v="1572152400"/>
    <x v="381"/>
    <d v="2019-10-27T00:00: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x v="382"/>
    <d v="2012-02-22T00:00: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336650082919"/>
    <x v="0"/>
    <s v="CAD"/>
    <n v="1273640400"/>
    <n v="1276750800"/>
    <x v="125"/>
    <d v="2010-06-17T00:00: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5695127402778"/>
    <x v="1"/>
    <s v="USD"/>
    <n v="1510639200"/>
    <n v="1510898400"/>
    <x v="383"/>
    <d v="2017-11-17T00:00: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1609195402299"/>
    <x v="1"/>
    <s v="USD"/>
    <n v="1528088400"/>
    <n v="1532408400"/>
    <x v="384"/>
    <d v="2018-07-24T00:00: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139534883721"/>
    <x v="1"/>
    <s v="USD"/>
    <n v="1359525600"/>
    <n v="1360562400"/>
    <x v="385"/>
    <d v="2013-02-11T00:00: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x v="386"/>
    <d v="2019-10-20T00:00: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59740259740255"/>
    <x v="0"/>
    <s v="CAD"/>
    <n v="1466398800"/>
    <n v="1468126800"/>
    <x v="387"/>
    <d v="2016-07-10T00:00: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0784313725483"/>
    <x v="1"/>
    <s v="USD"/>
    <n v="1492491600"/>
    <n v="1492837200"/>
    <x v="388"/>
    <d v="2017-04-22T00:00: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87398739873989"/>
    <x v="1"/>
    <s v="USD"/>
    <n v="1430197200"/>
    <n v="1430197200"/>
    <x v="277"/>
    <d v="2015-04-28T00:00: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4390243902445"/>
    <x v="1"/>
    <s v="USD"/>
    <n v="1496034000"/>
    <n v="1496206800"/>
    <x v="389"/>
    <d v="2017-05-31T00:00: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089552238806"/>
    <x v="1"/>
    <s v="USD"/>
    <n v="1388728800"/>
    <n v="1389592800"/>
    <x v="390"/>
    <d v="2014-01-13T00:00: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469237832875"/>
    <x v="1"/>
    <s v="USD"/>
    <n v="1543298400"/>
    <n v="1545631200"/>
    <x v="391"/>
    <d v="2018-12-24T00:00: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8.998544660724033"/>
    <x v="1"/>
    <s v="USD"/>
    <n v="1271739600"/>
    <n v="1272430800"/>
    <x v="392"/>
    <d v="2010-04-28T00:00: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28708133971293"/>
    <x v="1"/>
    <s v="USD"/>
    <n v="1326434400"/>
    <n v="1327903200"/>
    <x v="393"/>
    <d v="2012-01-30T00:00: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05559416261292"/>
    <x v="1"/>
    <s v="USD"/>
    <n v="1295244000"/>
    <n v="1296021600"/>
    <x v="394"/>
    <d v="2011-01-26T00:00:00"/>
    <b v="0"/>
    <b v="1"/>
    <s v="film &amp; video/documentary"/>
    <x v="4"/>
    <x v="4"/>
  </r>
  <r>
    <n v="417"/>
    <s v="Bradshaw, Smith and Ryan"/>
    <s v="Upgradable 24/7 emulation"/>
    <n v="1700"/>
    <n v="943"/>
    <n v="55"/>
    <x v="0"/>
    <n v="15"/>
    <n v="62.866666666666667"/>
    <x v="1"/>
    <s v="USD"/>
    <n v="1541221200"/>
    <n v="1543298400"/>
    <x v="395"/>
    <d v="2018-11-27T00:00:00"/>
    <b v="0"/>
    <b v="0"/>
    <s v="theater/plays"/>
    <x v="3"/>
    <x v="3"/>
  </r>
  <r>
    <n v="418"/>
    <s v="Jackson PLC"/>
    <s v="Quality-focused client-server core"/>
    <n v="163700"/>
    <n v="93963"/>
    <n v="57"/>
    <x v="0"/>
    <n v="1999"/>
    <n v="47.005002501250623"/>
    <x v="0"/>
    <s v="CAD"/>
    <n v="1336280400"/>
    <n v="1336366800"/>
    <x v="396"/>
    <d v="2012-05-07T00:00: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6.997693638285604"/>
    <x v="1"/>
    <s v="USD"/>
    <n v="1324533600"/>
    <n v="1325052000"/>
    <x v="397"/>
    <d v="2011-12-28T00:00: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29787234042556"/>
    <x v="1"/>
    <s v="USD"/>
    <n v="1498366800"/>
    <n v="1499576400"/>
    <x v="398"/>
    <d v="2017-07-09T00:00: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4576271186443"/>
    <x v="1"/>
    <s v="USD"/>
    <n v="1498712400"/>
    <n v="1501304400"/>
    <x v="399"/>
    <d v="2017-07-29T00:00: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4390243902438"/>
    <x v="1"/>
    <s v="USD"/>
    <n v="1271480400"/>
    <n v="1273208400"/>
    <x v="400"/>
    <d v="2010-05-07T00:00: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55555555555557"/>
    <x v="1"/>
    <s v="USD"/>
    <n v="1316667600"/>
    <n v="1316840400"/>
    <x v="116"/>
    <d v="2011-09-24T00:00: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67469879518072"/>
    <x v="1"/>
    <s v="USD"/>
    <n v="1524027600"/>
    <n v="1524546000"/>
    <x v="401"/>
    <d v="2018-04-24T00:00: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3913043478265"/>
    <x v="1"/>
    <s v="USD"/>
    <n v="1438059600"/>
    <n v="1438578000"/>
    <x v="402"/>
    <d v="2015-08-03T00:00: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1324200913242"/>
    <x v="1"/>
    <s v="USD"/>
    <n v="1361944800"/>
    <n v="1362549600"/>
    <x v="403"/>
    <d v="2013-03-06T00:00:00"/>
    <b v="0"/>
    <b v="0"/>
    <s v="theater/plays"/>
    <x v="3"/>
    <x v="3"/>
  </r>
  <r>
    <n v="427"/>
    <s v="Hicks, Wall and Webb"/>
    <s v="Managed discrete framework"/>
    <n v="174500"/>
    <n v="197018"/>
    <n v="113"/>
    <x v="1"/>
    <n v="2526"/>
    <n v="77.996041171813147"/>
    <x v="1"/>
    <s v="USD"/>
    <n v="1410584400"/>
    <n v="1413349200"/>
    <x v="404"/>
    <d v="2014-10-15T00:00: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67871485943775"/>
    <x v="1"/>
    <s v="USD"/>
    <n v="1297404000"/>
    <n v="1298008800"/>
    <x v="405"/>
    <d v="2011-02-18T00:00: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06080449017773"/>
    <x v="1"/>
    <s v="USD"/>
    <n v="1392012000"/>
    <n v="1394427600"/>
    <x v="406"/>
    <d v="2014-03-10T00:00: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21428571428569"/>
    <x v="1"/>
    <s v="USD"/>
    <n v="1569733200"/>
    <n v="1572670800"/>
    <x v="407"/>
    <d v="2019-11-02T00:00: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3617021276596"/>
    <x v="1"/>
    <s v="USD"/>
    <n v="1529643600"/>
    <n v="1531112400"/>
    <x v="408"/>
    <d v="2018-07-09T00:00: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010989010993"/>
    <x v="1"/>
    <s v="USD"/>
    <n v="1399006800"/>
    <n v="1400734800"/>
    <x v="409"/>
    <d v="2014-05-22T00:00: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3989898989896"/>
    <x v="1"/>
    <s v="USD"/>
    <n v="1385359200"/>
    <n v="1386741600"/>
    <x v="410"/>
    <d v="2013-12-11T00:00: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x v="411"/>
    <d v="2016-12-15T00:00: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131932282546"/>
    <x v="6"/>
    <s v="EUR"/>
    <n v="1418623200"/>
    <n v="1419660000"/>
    <x v="412"/>
    <d v="2014-12-27T00:00: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1726907630519"/>
    <x v="1"/>
    <s v="USD"/>
    <n v="1555736400"/>
    <n v="1555822800"/>
    <x v="413"/>
    <d v="2019-04-21T00:00: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1875"/>
    <x v="1"/>
    <s v="USD"/>
    <n v="1442120400"/>
    <n v="1442379600"/>
    <x v="414"/>
    <d v="2015-09-16T00:00: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2834008097166"/>
    <x v="1"/>
    <s v="USD"/>
    <n v="1362376800"/>
    <n v="1364965200"/>
    <x v="415"/>
    <d v="2013-04-03T00:00: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.003488879197555"/>
    <x v="1"/>
    <s v="USD"/>
    <n v="1478408400"/>
    <n v="1479016800"/>
    <x v="416"/>
    <d v="2016-11-13T00:00: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.003513254551258"/>
    <x v="1"/>
    <s v="USD"/>
    <n v="1498798800"/>
    <n v="1499662800"/>
    <x v="417"/>
    <d v="2017-07-10T00:00: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x v="418"/>
    <d v="2012-05-24T00:00: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195804195804"/>
    <x v="6"/>
    <s v="EUR"/>
    <n v="1504328400"/>
    <n v="1505710800"/>
    <x v="419"/>
    <d v="2017-09-18T00:00: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11111111111111"/>
    <x v="1"/>
    <s v="USD"/>
    <n v="1285822800"/>
    <n v="1287464400"/>
    <x v="420"/>
    <d v="2010-10-19T00:00: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2702702702702"/>
    <x v="1"/>
    <s v="USD"/>
    <n v="1311483600"/>
    <n v="1311656400"/>
    <x v="421"/>
    <d v="2011-07-26T00:00:00"/>
    <b v="0"/>
    <b v="1"/>
    <s v="music/indie rock"/>
    <x v="1"/>
    <x v="7"/>
  </r>
  <r>
    <n v="445"/>
    <s v="Anderson-Pearson"/>
    <s v="Intuitive demand-driven Local Area Network"/>
    <n v="2100"/>
    <n v="10739"/>
    <n v="511"/>
    <x v="1"/>
    <n v="170"/>
    <n v="63.170588235294119"/>
    <x v="1"/>
    <s v="USD"/>
    <n v="1291356000"/>
    <n v="1293170400"/>
    <x v="422"/>
    <d v="2010-12-24T00:00: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462365591398"/>
    <x v="1"/>
    <s v="USD"/>
    <n v="1355810400"/>
    <n v="1355983200"/>
    <x v="423"/>
    <d v="2012-12-20T00:00: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x v="424"/>
    <d v="2018-01-04T00:00: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4876033057845"/>
    <x v="1"/>
    <s v="USD"/>
    <n v="1365915600"/>
    <n v="1366088400"/>
    <x v="425"/>
    <d v="2013-04-16T00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x v="426"/>
    <d v="2019-03-23T00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x v="427"/>
    <d v="2018-11-13T00:00: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.001272669424118"/>
    <x v="1"/>
    <s v="USD"/>
    <n v="1500440400"/>
    <n v="1503118800"/>
    <x v="428"/>
    <d v="2017-08-19T00:00: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25806451612897"/>
    <x v="1"/>
    <s v="USD"/>
    <n v="1278392400"/>
    <n v="1278478800"/>
    <x v="429"/>
    <d v="2010-07-07T00:00:00"/>
    <b v="0"/>
    <b v="0"/>
    <s v="film &amp; video/drama"/>
    <x v="4"/>
    <x v="6"/>
  </r>
  <r>
    <n v="453"/>
    <s v="Saunders Ltd"/>
    <s v="Multi-layered multi-tasking secured line"/>
    <n v="182400"/>
    <n v="102749"/>
    <n v="56"/>
    <x v="0"/>
    <n v="1181"/>
    <n v="87.001693480101608"/>
    <x v="1"/>
    <s v="USD"/>
    <n v="1480572000"/>
    <n v="1484114400"/>
    <x v="411"/>
    <d v="2017-01-11T00:00: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05128205128204"/>
    <x v="1"/>
    <s v="USD"/>
    <n v="1382331600"/>
    <n v="1385445600"/>
    <x v="430"/>
    <d v="2013-11-26T00:00: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.001341561577675"/>
    <x v="1"/>
    <s v="USD"/>
    <n v="1316754000"/>
    <n v="1318741200"/>
    <x v="431"/>
    <d v="2011-10-16T00:00: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76947040498445"/>
    <x v="1"/>
    <s v="USD"/>
    <n v="1518242400"/>
    <n v="1518242400"/>
    <x v="432"/>
    <d v="2018-02-10T00:00: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56521739130434"/>
    <x v="1"/>
    <s v="USD"/>
    <n v="1476421200"/>
    <n v="1476594000"/>
    <x v="433"/>
    <d v="2016-10-16T00:00: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3396226415094"/>
    <x v="1"/>
    <s v="USD"/>
    <n v="1269752400"/>
    <n v="1273554000"/>
    <x v="434"/>
    <d v="2010-05-11T00:00: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38095238095238"/>
    <x v="1"/>
    <s v="USD"/>
    <n v="1419746400"/>
    <n v="1421906400"/>
    <x v="435"/>
    <d v="2015-01-22T00:00: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x v="8"/>
    <d v="2010-08-12T00:00: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6.997115384615384"/>
    <x v="1"/>
    <s v="USD"/>
    <n v="1398661200"/>
    <n v="1400389200"/>
    <x v="436"/>
    <d v="2014-05-18T00:00: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401869158878"/>
    <x v="1"/>
    <s v="USD"/>
    <n v="1359525600"/>
    <n v="1362808800"/>
    <x v="385"/>
    <d v="2013-03-09T00:00: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09501187648453"/>
    <x v="1"/>
    <s v="USD"/>
    <n v="1388469600"/>
    <n v="1388815200"/>
    <x v="437"/>
    <d v="2014-01-04T00:00: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06568144499177"/>
    <x v="1"/>
    <s v="USD"/>
    <n v="1518328800"/>
    <n v="1519538400"/>
    <x v="438"/>
    <d v="2018-02-25T00:00: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25"/>
    <x v="1"/>
    <s v="USD"/>
    <n v="1517032800"/>
    <n v="1517810400"/>
    <x v="439"/>
    <d v="2018-02-05T00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x v="440"/>
    <d v="2013-06-07T00:00: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35251798561154"/>
    <x v="0"/>
    <s v="CAD"/>
    <n v="1448258400"/>
    <n v="1448863200"/>
    <x v="441"/>
    <d v="2015-11-30T00:00: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x v="442"/>
    <d v="2019-04-30T00:00: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597484276729"/>
    <x v="1"/>
    <s v="USD"/>
    <n v="1431925200"/>
    <n v="1432098000"/>
    <x v="443"/>
    <d v="2015-05-20T00:00: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0524934383202"/>
    <x v="1"/>
    <s v="USD"/>
    <n v="1481522400"/>
    <n v="1482127200"/>
    <x v="315"/>
    <d v="2016-12-19T00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x v="444"/>
    <d v="2012-05-02T00:00: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260869565217"/>
    <x v="1"/>
    <s v="USD"/>
    <n v="1552280400"/>
    <n v="1556946000"/>
    <x v="445"/>
    <d v="2019-05-04T00:00: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28301886792448"/>
    <x v="1"/>
    <s v="USD"/>
    <n v="1529989200"/>
    <n v="1530075600"/>
    <x v="446"/>
    <d v="2018-06-27T00:00: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5915492957747"/>
    <x v="1"/>
    <s v="USD"/>
    <n v="1418709600"/>
    <n v="1418796000"/>
    <x v="447"/>
    <d v="2014-12-17T00:00:00"/>
    <b v="0"/>
    <b v="0"/>
    <s v="film &amp; video/television"/>
    <x v="4"/>
    <x v="19"/>
  </r>
  <r>
    <n v="475"/>
    <s v="Nichols Ltd"/>
    <s v="Function-based attitude-oriented groupware"/>
    <n v="7400"/>
    <n v="8432"/>
    <n v="114"/>
    <x v="1"/>
    <n v="211"/>
    <n v="39.962085308056871"/>
    <x v="1"/>
    <s v="USD"/>
    <n v="1372136400"/>
    <n v="1372482000"/>
    <x v="448"/>
    <d v="2013-06-29T00:00: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.001785714285717"/>
    <x v="1"/>
    <s v="USD"/>
    <n v="1533877200"/>
    <n v="1534395600"/>
    <x v="342"/>
    <d v="2018-08-16T00:00: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3008849557525"/>
    <x v="1"/>
    <s v="USD"/>
    <n v="1309064400"/>
    <n v="1311397200"/>
    <x v="449"/>
    <d v="2011-07-23T00:00: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8.999637155297535"/>
    <x v="1"/>
    <s v="USD"/>
    <n v="1425877200"/>
    <n v="1426914000"/>
    <x v="450"/>
    <d v="2015-03-21T00:00: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56069364161851"/>
    <x v="4"/>
    <s v="GBP"/>
    <n v="1501304400"/>
    <n v="1501477200"/>
    <x v="451"/>
    <d v="2017-07-31T00:00: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4252873563212"/>
    <x v="1"/>
    <s v="USD"/>
    <n v="1268287200"/>
    <n v="1269061200"/>
    <x v="452"/>
    <d v="2010-03-20T00:00: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8634590377114"/>
    <x v="1"/>
    <s v="USD"/>
    <n v="1412139600"/>
    <n v="1415772000"/>
    <x v="453"/>
    <d v="2014-11-12T00:00: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55555555555557"/>
    <x v="1"/>
    <s v="USD"/>
    <n v="1330063200"/>
    <n v="1331013600"/>
    <x v="454"/>
    <d v="2012-03-06T00:00: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68592057761734"/>
    <x v="1"/>
    <s v="USD"/>
    <n v="1576130400"/>
    <n v="1576735200"/>
    <x v="455"/>
    <d v="2019-12-19T00:00: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8.99554707379135"/>
    <x v="4"/>
    <s v="GBP"/>
    <n v="1407128400"/>
    <n v="1411362000"/>
    <x v="456"/>
    <d v="2014-09-22T00:00: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69135802469133"/>
    <x v="4"/>
    <s v="GBP"/>
    <n v="1560142800"/>
    <n v="1563685200"/>
    <x v="457"/>
    <d v="2019-07-21T00:00:00"/>
    <b v="0"/>
    <b v="0"/>
    <s v="theater/plays"/>
    <x v="3"/>
    <x v="3"/>
  </r>
  <r>
    <n v="486"/>
    <s v="Davis, Cox and Fox"/>
    <s v="Compatible exuding Graphical User Interface"/>
    <n v="5200"/>
    <n v="702"/>
    <n v="14"/>
    <x v="0"/>
    <n v="21"/>
    <n v="33.428571428571431"/>
    <x v="4"/>
    <s v="GBP"/>
    <n v="1520575200"/>
    <n v="1521867600"/>
    <x v="458"/>
    <d v="2018-03-24T00:00: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2949701619773"/>
    <x v="1"/>
    <s v="USD"/>
    <n v="1492664400"/>
    <n v="1495515600"/>
    <x v="459"/>
    <d v="2017-05-23T00:00:00"/>
    <b v="0"/>
    <b v="0"/>
    <s v="theater/plays"/>
    <x v="3"/>
    <x v="3"/>
  </r>
  <r>
    <n v="488"/>
    <s v="Cordova, Shaw and Wang"/>
    <s v="Virtual secondary open architecture"/>
    <n v="5300"/>
    <n v="11663"/>
    <n v="220"/>
    <x v="1"/>
    <n v="115"/>
    <n v="101.41739130434783"/>
    <x v="1"/>
    <s v="USD"/>
    <n v="1454479200"/>
    <n v="1455948000"/>
    <x v="460"/>
    <d v="2016-02-20T00:00: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058823529412"/>
    <x v="6"/>
    <s v="EUR"/>
    <n v="1281934800"/>
    <n v="1282366800"/>
    <x v="461"/>
    <d v="2010-08-21T00:00: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16666666666668"/>
    <x v="1"/>
    <s v="USD"/>
    <n v="1573970400"/>
    <n v="1574575200"/>
    <x v="462"/>
    <d v="2019-11-24T00:00: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93450675399103"/>
    <x v="1"/>
    <s v="USD"/>
    <n v="1372654800"/>
    <n v="1374901200"/>
    <x v="463"/>
    <d v="2013-07-27T00:00: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26890756302521"/>
    <x v="1"/>
    <s v="USD"/>
    <n v="1275886800"/>
    <n v="1278910800"/>
    <x v="464"/>
    <d v="2010-07-12T00:00: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125"/>
    <x v="1"/>
    <s v="USD"/>
    <n v="1561784400"/>
    <n v="1562907600"/>
    <x v="465"/>
    <d v="2019-07-12T00:00: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59701492537314"/>
    <x v="1"/>
    <s v="USD"/>
    <n v="1332392400"/>
    <n v="1332478800"/>
    <x v="466"/>
    <d v="2012-03-23T00:00:00"/>
    <b v="0"/>
    <b v="0"/>
    <s v="technology/wearables"/>
    <x v="2"/>
    <x v="8"/>
  </r>
  <r>
    <n v="495"/>
    <s v="Bell, Edwards and Andersen"/>
    <s v="Centralized clear-thinking solution"/>
    <n v="3200"/>
    <n v="13264"/>
    <n v="415"/>
    <x v="1"/>
    <n v="195"/>
    <n v="68.02051282051282"/>
    <x v="3"/>
    <s v="DKK"/>
    <n v="1402376400"/>
    <n v="1402722000"/>
    <x v="467"/>
    <d v="2014-06-14T00:00: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037037037037"/>
    <x v="1"/>
    <s v="USD"/>
    <n v="1495342800"/>
    <n v="1496811600"/>
    <x v="468"/>
    <d v="2017-06-07T00:00: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08333333333335"/>
    <x v="1"/>
    <s v="USD"/>
    <n v="1482213600"/>
    <n v="1482213600"/>
    <x v="469"/>
    <d v="2016-12-20T00:00: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94818652849744"/>
    <x v="3"/>
    <s v="DKK"/>
    <n v="1420092000"/>
    <n v="1420264800"/>
    <x v="470"/>
    <d v="2015-01-03T00:00: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.003378378378379"/>
    <x v="1"/>
    <s v="USD"/>
    <n v="1458018000"/>
    <n v="1458450000"/>
    <x v="471"/>
    <d v="2016-03-20T00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n v="0"/>
    <x v="1"/>
    <s v="USD"/>
    <n v="1367384400"/>
    <n v="1369803600"/>
    <x v="472"/>
    <d v="2013-05-29T00:00: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0534521158132"/>
    <x v="1"/>
    <s v="USD"/>
    <n v="1363064400"/>
    <n v="1363237200"/>
    <x v="473"/>
    <d v="2013-03-14T00:00: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37634408602152"/>
    <x v="2"/>
    <s v="AUD"/>
    <n v="1343365200"/>
    <n v="1345870800"/>
    <x v="474"/>
    <d v="2012-08-25T00:00: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3043478260872"/>
    <x v="1"/>
    <s v="USD"/>
    <n v="1435726800"/>
    <n v="1437454800"/>
    <x v="72"/>
    <d v="2015-07-21T00:00: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774193548387"/>
    <x v="6"/>
    <s v="EUR"/>
    <n v="1431925200"/>
    <n v="1432011600"/>
    <x v="443"/>
    <d v="2015-05-19T00:00:00"/>
    <b v="0"/>
    <b v="0"/>
    <s v="music/rock"/>
    <x v="1"/>
    <x v="1"/>
  </r>
  <r>
    <n v="505"/>
    <s v="Jensen-Vargas"/>
    <s v="Ameliorated explicit parallelism"/>
    <n v="89900"/>
    <n v="12497"/>
    <n v="14"/>
    <x v="0"/>
    <n v="347"/>
    <n v="36.014409221902014"/>
    <x v="1"/>
    <s v="USD"/>
    <n v="1362722400"/>
    <n v="1366347600"/>
    <x v="475"/>
    <d v="2013-04-19T00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284810126578"/>
    <x v="1"/>
    <s v="USD"/>
    <n v="1511416800"/>
    <n v="1512885600"/>
    <x v="81"/>
    <d v="2017-12-10T00:00: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263157894737"/>
    <x v="1"/>
    <s v="USD"/>
    <n v="1365483600"/>
    <n v="1369717200"/>
    <x v="476"/>
    <d v="2013-05-28T00:00:00"/>
    <b v="0"/>
    <b v="1"/>
    <s v="technology/web"/>
    <x v="2"/>
    <x v="2"/>
  </r>
  <r>
    <n v="508"/>
    <s v="Roberts Group"/>
    <s v="Up-sized radical pricing structure"/>
    <n v="172700"/>
    <n v="193820"/>
    <n v="112"/>
    <x v="1"/>
    <n v="3657"/>
    <n v="52.999726551818434"/>
    <x v="1"/>
    <s v="USD"/>
    <n v="1532840400"/>
    <n v="1534654800"/>
    <x v="192"/>
    <d v="2018-08-19T00:00: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x v="477"/>
    <d v="2012-05-15T00:00: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08396946564892"/>
    <x v="2"/>
    <s v="AUD"/>
    <n v="1527742800"/>
    <n v="1529816400"/>
    <x v="478"/>
    <d v="2018-06-24T00:00: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0773480662988"/>
    <x v="1"/>
    <s v="USD"/>
    <n v="1564030800"/>
    <n v="1564894800"/>
    <x v="479"/>
    <d v="2019-08-04T00:00: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46025104602514"/>
    <x v="1"/>
    <s v="USD"/>
    <n v="1404536400"/>
    <n v="1404622800"/>
    <x v="480"/>
    <d v="2014-07-06T00:00: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2857142857139"/>
    <x v="1"/>
    <s v="USD"/>
    <n v="1284008400"/>
    <n v="1284181200"/>
    <x v="180"/>
    <d v="2010-09-11T00:00: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45075757575758"/>
    <x v="5"/>
    <s v="CHF"/>
    <n v="1386309600"/>
    <n v="1386741600"/>
    <x v="481"/>
    <d v="2013-12-11T00:00:00"/>
    <b v="0"/>
    <b v="1"/>
    <s v="music/rock"/>
    <x v="1"/>
    <x v="1"/>
  </r>
  <r>
    <n v="515"/>
    <s v="Cox LLC"/>
    <s v="Phased 24hour flexibility"/>
    <n v="8600"/>
    <n v="4797"/>
    <n v="56"/>
    <x v="0"/>
    <n v="133"/>
    <n v="36.067669172932334"/>
    <x v="0"/>
    <s v="CAD"/>
    <n v="1324620000"/>
    <n v="1324792800"/>
    <x v="482"/>
    <d v="2011-12-25T00:00: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0732860520096"/>
    <x v="1"/>
    <s v="USD"/>
    <n v="1281070800"/>
    <n v="1284354000"/>
    <x v="194"/>
    <d v="2010-09-13T00:00:00"/>
    <b v="0"/>
    <b v="0"/>
    <s v="publishing/nonfiction"/>
    <x v="5"/>
    <x v="9"/>
  </r>
  <r>
    <n v="517"/>
    <s v="Ramirez LLC"/>
    <s v="Multi-tiered maximized orchestration"/>
    <n v="5900"/>
    <n v="6608"/>
    <n v="112"/>
    <x v="1"/>
    <n v="78"/>
    <n v="84.717948717948715"/>
    <x v="1"/>
    <s v="USD"/>
    <n v="1493960400"/>
    <n v="1494392400"/>
    <x v="483"/>
    <d v="2017-05-10T00:00:00"/>
    <b v="0"/>
    <b v="0"/>
    <s v="food/food trucks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n v="1519538400"/>
    <x v="484"/>
    <d v="2018-02-25T00:00: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7518330513255"/>
    <x v="1"/>
    <s v="USD"/>
    <n v="1420696800"/>
    <n v="1421906400"/>
    <x v="355"/>
    <d v="2015-01-22T00:00: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375"/>
    <x v="1"/>
    <s v="USD"/>
    <n v="1555650000"/>
    <n v="1555909200"/>
    <x v="485"/>
    <d v="2019-04-22T00:00: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75609756097562"/>
    <x v="1"/>
    <s v="USD"/>
    <n v="1471928400"/>
    <n v="1472446800"/>
    <x v="486"/>
    <d v="2016-08-29T00:00: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06282722513089"/>
    <x v="1"/>
    <s v="USD"/>
    <n v="1341291600"/>
    <n v="1342328400"/>
    <x v="487"/>
    <d v="2012-07-15T00:00: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2022471910112"/>
    <x v="1"/>
    <s v="USD"/>
    <n v="1267682400"/>
    <n v="1268114400"/>
    <x v="488"/>
    <d v="2010-03-09T00:00: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0.998484082870135"/>
    <x v="1"/>
    <s v="USD"/>
    <n v="1272258000"/>
    <n v="1273381200"/>
    <x v="489"/>
    <d v="2010-05-09T00:00: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3492063492063"/>
    <x v="1"/>
    <s v="USD"/>
    <n v="1290492000"/>
    <n v="1290837600"/>
    <x v="490"/>
    <d v="2010-11-27T00:00: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4421768707485"/>
    <x v="1"/>
    <s v="USD"/>
    <n v="1451109600"/>
    <n v="1454306400"/>
    <x v="312"/>
    <d v="2016-02-01T00:00: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x v="491"/>
    <d v="2016-03-12T00:00: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37500000000006"/>
    <x v="4"/>
    <s v="GBP"/>
    <n v="1385186400"/>
    <n v="1389074400"/>
    <x v="492"/>
    <d v="2014-01-07T00:00: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77777777777779"/>
    <x v="1"/>
    <s v="USD"/>
    <n v="1399698000"/>
    <n v="1402117200"/>
    <x v="493"/>
    <d v="2014-06-07T00:00: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3.995515695067262"/>
    <x v="1"/>
    <s v="USD"/>
    <n v="1283230800"/>
    <n v="1284440400"/>
    <x v="494"/>
    <d v="2010-09-14T00:00: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3956043956047"/>
    <x v="5"/>
    <s v="CHF"/>
    <n v="1384149600"/>
    <n v="1388988000"/>
    <x v="495"/>
    <d v="2014-01-06T00:00: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57142857142854"/>
    <x v="0"/>
    <s v="CAD"/>
    <n v="1516860000"/>
    <n v="1516946400"/>
    <x v="496"/>
    <d v="2018-01-26T00:00: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2.996393146979258"/>
    <x v="4"/>
    <s v="GBP"/>
    <n v="1374642000"/>
    <n v="1377752400"/>
    <x v="497"/>
    <d v="2013-08-29T00:00: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230452674897"/>
    <x v="1"/>
    <s v="USD"/>
    <n v="1534482000"/>
    <n v="1534568400"/>
    <x v="498"/>
    <d v="2018-08-18T00:00: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4554455445542"/>
    <x v="6"/>
    <s v="EUR"/>
    <n v="1528434000"/>
    <n v="1528606800"/>
    <x v="499"/>
    <d v="2018-06-10T00:00: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7857142857143"/>
    <x v="6"/>
    <s v="EUR"/>
    <n v="1282626000"/>
    <n v="1284872400"/>
    <x v="500"/>
    <d v="2010-09-19T00:00: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4676806083643"/>
    <x v="3"/>
    <s v="DKK"/>
    <n v="1535605200"/>
    <n v="1537592400"/>
    <x v="501"/>
    <d v="2018-09-22T00:00: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07716049382715"/>
    <x v="1"/>
    <s v="USD"/>
    <n v="1379826000"/>
    <n v="1381208400"/>
    <x v="502"/>
    <d v="2013-10-08T00:00: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67532467532465"/>
    <x v="1"/>
    <s v="USD"/>
    <n v="1561957200"/>
    <n v="1562475600"/>
    <x v="503"/>
    <d v="2019-07-07T00:00: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2874493927124"/>
    <x v="1"/>
    <s v="USD"/>
    <n v="1525496400"/>
    <n v="1527397200"/>
    <x v="504"/>
    <d v="2018-05-27T00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7848101265823"/>
    <x v="6"/>
    <s v="EUR"/>
    <n v="1433912400"/>
    <n v="1436158800"/>
    <x v="505"/>
    <d v="2015-07-06T00:00: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87755102040813"/>
    <x v="4"/>
    <s v="GBP"/>
    <n v="1453442400"/>
    <n v="1456034400"/>
    <x v="506"/>
    <d v="2016-02-21T00:00: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2222222222226"/>
    <x v="1"/>
    <s v="USD"/>
    <n v="1378875600"/>
    <n v="1380171600"/>
    <x v="507"/>
    <d v="2013-09-26T00:00: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66666666666671"/>
    <x v="1"/>
    <s v="USD"/>
    <n v="1452232800"/>
    <n v="1453356000"/>
    <x v="508"/>
    <d v="2016-01-21T00:00: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07063197026021"/>
    <x v="1"/>
    <s v="USD"/>
    <n v="1577253600"/>
    <n v="1578981600"/>
    <x v="509"/>
    <d v="2020-01-14T00:00: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8181818181813"/>
    <x v="1"/>
    <s v="USD"/>
    <n v="1537160400"/>
    <n v="1537419600"/>
    <x v="510"/>
    <d v="2018-09-20T00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x v="511"/>
    <d v="2015-02-06T00:00: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1289782244557"/>
    <x v="1"/>
    <s v="USD"/>
    <n v="1459486800"/>
    <n v="1460610000"/>
    <x v="512"/>
    <d v="2016-04-14T00:00: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018372703411"/>
    <x v="1"/>
    <s v="USD"/>
    <n v="1369717200"/>
    <n v="1370494800"/>
    <x v="513"/>
    <d v="2013-06-06T00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x v="514"/>
    <d v="2012-03-21T00:00: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7.99856063332134"/>
    <x v="2"/>
    <s v="AUD"/>
    <n v="1419055200"/>
    <n v="1422511200"/>
    <x v="515"/>
    <d v="2015-01-29T00:00: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69565217391298"/>
    <x v="1"/>
    <s v="USD"/>
    <n v="1480140000"/>
    <n v="1480312800"/>
    <x v="516"/>
    <d v="2016-11-28T00:00: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78599221789878"/>
    <x v="1"/>
    <s v="USD"/>
    <n v="1293948000"/>
    <n v="1294034400"/>
    <x v="517"/>
    <d v="2011-01-03T00:00: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07220216606498"/>
    <x v="0"/>
    <s v="CAD"/>
    <n v="1482127200"/>
    <n v="1482645600"/>
    <x v="518"/>
    <d v="2016-12-25T00:00:00"/>
    <b v="0"/>
    <b v="0"/>
    <s v="music/indie rock"/>
    <x v="1"/>
    <x v="7"/>
  </r>
  <r>
    <n v="555"/>
    <s v="Anderson Group"/>
    <s v="Organic maximized database"/>
    <n v="6300"/>
    <n v="14089"/>
    <n v="224"/>
    <x v="1"/>
    <n v="135"/>
    <n v="104.36296296296297"/>
    <x v="3"/>
    <s v="DKK"/>
    <n v="1396414800"/>
    <n v="1399093200"/>
    <x v="519"/>
    <d v="2014-05-03T00:00: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8852459016394"/>
    <x v="1"/>
    <s v="USD"/>
    <n v="1315285200"/>
    <n v="1315890000"/>
    <x v="520"/>
    <d v="2011-09-13T00:00: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17647058823529"/>
    <x v="1"/>
    <s v="USD"/>
    <n v="1443762000"/>
    <n v="1444021200"/>
    <x v="521"/>
    <d v="2015-10-05T00:00: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2222222222221"/>
    <x v="1"/>
    <s v="USD"/>
    <n v="1456293600"/>
    <n v="1460005200"/>
    <x v="522"/>
    <d v="2016-04-07T00:00: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228962818004"/>
    <x v="1"/>
    <s v="USD"/>
    <n v="1470114000"/>
    <n v="1470718800"/>
    <x v="523"/>
    <d v="2016-08-09T00:00: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4334277620396"/>
    <x v="1"/>
    <s v="USD"/>
    <n v="1321596000"/>
    <n v="1325052000"/>
    <x v="524"/>
    <d v="2011-12-28T00:00: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15151515151516"/>
    <x v="5"/>
    <s v="CHF"/>
    <n v="1318827600"/>
    <n v="1319000400"/>
    <x v="525"/>
    <d v="2011-10-19T00:00: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07692307692307"/>
    <x v="5"/>
    <s v="CHF"/>
    <n v="1552366800"/>
    <n v="1552539600"/>
    <x v="188"/>
    <d v="2019-03-14T00:00: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2352941176474"/>
    <x v="2"/>
    <s v="AUD"/>
    <n v="1542088800"/>
    <n v="1543816800"/>
    <x v="526"/>
    <d v="2018-12-03T00:00: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90502793296088"/>
    <x v="1"/>
    <s v="USD"/>
    <n v="1426395600"/>
    <n v="1427086800"/>
    <x v="527"/>
    <d v="2015-03-23T00:00:00"/>
    <b v="0"/>
    <b v="0"/>
    <s v="theater/plays"/>
    <x v="3"/>
    <x v="3"/>
  </r>
  <r>
    <n v="565"/>
    <s v="Joseph LLC"/>
    <s v="Decentralized logistical collaboration"/>
    <n v="94900"/>
    <n v="194166"/>
    <n v="205"/>
    <x v="1"/>
    <n v="3596"/>
    <n v="53.99499443826474"/>
    <x v="1"/>
    <s v="USD"/>
    <n v="1321336800"/>
    <n v="1323064800"/>
    <x v="528"/>
    <d v="2011-12-05T00:00: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5945945945945"/>
    <x v="1"/>
    <s v="USD"/>
    <n v="1456293600"/>
    <n v="1458277200"/>
    <x v="522"/>
    <d v="2016-03-18T00:00: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2131147540981"/>
    <x v="1"/>
    <s v="USD"/>
    <n v="1404968400"/>
    <n v="1405141200"/>
    <x v="529"/>
    <d v="2014-07-12T00:00: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.0015444015444"/>
    <x v="1"/>
    <s v="USD"/>
    <n v="1279170000"/>
    <n v="1283058000"/>
    <x v="530"/>
    <d v="2010-08-29T00:00: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93208828522924"/>
    <x v="6"/>
    <s v="EUR"/>
    <n v="1294725600"/>
    <n v="1295762400"/>
    <x v="531"/>
    <d v="2011-01-23T00:00: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4.995963302752294"/>
    <x v="1"/>
    <s v="USD"/>
    <n v="1419055200"/>
    <n v="1419573600"/>
    <x v="515"/>
    <d v="2014-12-26T00:00: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2857142857139"/>
    <x v="6"/>
    <s v="EUR"/>
    <n v="1434690000"/>
    <n v="1438750800"/>
    <x v="532"/>
    <d v="2015-08-05T00:00: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85106382978722"/>
    <x v="1"/>
    <s v="USD"/>
    <n v="1443416400"/>
    <n v="1444798800"/>
    <x v="533"/>
    <d v="2015-10-14T00:00:00"/>
    <b v="0"/>
    <b v="1"/>
    <s v="music/rock"/>
    <x v="1"/>
    <x v="1"/>
  </r>
  <r>
    <n v="573"/>
    <s v="Valenzuela-Cook"/>
    <s v="Total incremental productivity"/>
    <n v="6700"/>
    <n v="7496"/>
    <n v="112"/>
    <x v="1"/>
    <n v="300"/>
    <n v="24.986666666666668"/>
    <x v="1"/>
    <s v="USD"/>
    <n v="1399006800"/>
    <n v="1399179600"/>
    <x v="409"/>
    <d v="2014-05-04T00:00: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15277777777771"/>
    <x v="1"/>
    <s v="USD"/>
    <n v="1575698400"/>
    <n v="1576562400"/>
    <x v="534"/>
    <d v="2019-12-17T00:00: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4444444444443"/>
    <x v="1"/>
    <s v="USD"/>
    <n v="1400562000"/>
    <n v="1400821200"/>
    <x v="53"/>
    <d v="2014-05-23T00:00: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0625"/>
    <x v="1"/>
    <s v="USD"/>
    <n v="1509512400"/>
    <n v="1510984800"/>
    <x v="535"/>
    <d v="2017-11-18T00:00: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3783783783782"/>
    <x v="1"/>
    <s v="USD"/>
    <n v="1299823200"/>
    <n v="1302066000"/>
    <x v="536"/>
    <d v="2011-04-06T00:00: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91836734693877"/>
    <x v="1"/>
    <s v="USD"/>
    <n v="1322719200"/>
    <n v="1322978400"/>
    <x v="537"/>
    <d v="2011-12-04T00:00: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5747126436782"/>
    <x v="1"/>
    <s v="USD"/>
    <n v="1312693200"/>
    <n v="1313730000"/>
    <x v="538"/>
    <d v="2011-08-19T00:00: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.003209242618745"/>
    <x v="1"/>
    <s v="USD"/>
    <n v="1393394400"/>
    <n v="1394085600"/>
    <x v="539"/>
    <d v="2014-03-06T00:00: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098591549295776"/>
    <x v="1"/>
    <s v="USD"/>
    <n v="1304053200"/>
    <n v="1305349200"/>
    <x v="540"/>
    <d v="2011-05-14T00:00: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095238095238"/>
    <x v="1"/>
    <s v="USD"/>
    <n v="1433912400"/>
    <n v="1434344400"/>
    <x v="505"/>
    <d v="2015-06-15T00:00: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4103410341032"/>
    <x v="1"/>
    <s v="USD"/>
    <n v="1329717600"/>
    <n v="1331186400"/>
    <x v="541"/>
    <d v="2012-03-08T00:00: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425914445133"/>
    <x v="1"/>
    <s v="USD"/>
    <n v="1335330000"/>
    <n v="1336539600"/>
    <x v="542"/>
    <d v="2012-05-09T00:00: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66176470588232"/>
    <x v="1"/>
    <s v="USD"/>
    <n v="1268888400"/>
    <n v="1269752400"/>
    <x v="543"/>
    <d v="2010-03-28T00:00: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4615384615384"/>
    <x v="1"/>
    <s v="USD"/>
    <n v="1289973600"/>
    <n v="1291615200"/>
    <x v="544"/>
    <d v="2010-12-06T00:00: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307692307692"/>
    <x v="0"/>
    <s v="CAD"/>
    <n v="1547877600"/>
    <n v="1552366800"/>
    <x v="35"/>
    <d v="2019-03-12T00:00: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1198830409361"/>
    <x v="4"/>
    <s v="GBP"/>
    <n v="1269493200"/>
    <n v="1272171600"/>
    <x v="152"/>
    <d v="2010-04-25T00:00: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27450980392155"/>
    <x v="1"/>
    <s v="USD"/>
    <n v="1436072400"/>
    <n v="1436677200"/>
    <x v="545"/>
    <d v="2015-07-12T00:00: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0930232558146"/>
    <x v="2"/>
    <s v="AUD"/>
    <n v="1419141600"/>
    <n v="1420092000"/>
    <x v="546"/>
    <d v="2015-01-01T00:00: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3921568627451"/>
    <x v="1"/>
    <s v="USD"/>
    <n v="1279083600"/>
    <n v="1279947600"/>
    <x v="547"/>
    <d v="2010-07-24T00:00: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1857707509876"/>
    <x v="1"/>
    <s v="USD"/>
    <n v="1401426000"/>
    <n v="1402203600"/>
    <x v="548"/>
    <d v="2014-06-08T00:00: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.001497753369947"/>
    <x v="1"/>
    <s v="USD"/>
    <n v="1395810000"/>
    <n v="1396933200"/>
    <x v="549"/>
    <d v="2014-04-08T00:00:00"/>
    <b v="0"/>
    <b v="0"/>
    <s v="film &amp; video/animation"/>
    <x v="4"/>
    <x v="10"/>
  </r>
  <r>
    <n v="594"/>
    <s v="Mcbride PLC"/>
    <s v="Upgradable leadingedge Local Area Network"/>
    <n v="157300"/>
    <n v="11167"/>
    <n v="7"/>
    <x v="0"/>
    <n v="157"/>
    <n v="71.127388535031841"/>
    <x v="1"/>
    <s v="USD"/>
    <n v="1467003600"/>
    <n v="1467262800"/>
    <x v="550"/>
    <d v="2016-06-30T00:00: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079189686924"/>
    <x v="1"/>
    <s v="USD"/>
    <n v="1268715600"/>
    <n v="1270530000"/>
    <x v="551"/>
    <d v="2010-04-06T00:00: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2786885245905"/>
    <x v="1"/>
    <s v="USD"/>
    <n v="1457157600"/>
    <n v="1457762400"/>
    <x v="552"/>
    <d v="2016-03-12T00:00: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7.997714808043881"/>
    <x v="1"/>
    <s v="USD"/>
    <n v="1573970400"/>
    <n v="1575525600"/>
    <x v="462"/>
    <d v="2019-12-05T00:00: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.004566210045667"/>
    <x v="6"/>
    <s v="EUR"/>
    <n v="1276578000"/>
    <n v="1279083600"/>
    <x v="553"/>
    <d v="2010-07-14T00:00: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1463414634148"/>
    <x v="3"/>
    <s v="DKK"/>
    <n v="1423720800"/>
    <n v="1424412000"/>
    <x v="554"/>
    <d v="2015-02-20T00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x v="555"/>
    <d v="2013-08-11T00:00:00"/>
    <b v="0"/>
    <b v="0"/>
    <s v="food/food trucks"/>
    <x v="0"/>
    <x v="0"/>
  </r>
  <r>
    <n v="601"/>
    <s v="Waters and Sons"/>
    <s v="Inverse neutral structure"/>
    <n v="6300"/>
    <n v="13018"/>
    <n v="207"/>
    <x v="1"/>
    <n v="194"/>
    <n v="67.103092783505161"/>
    <x v="1"/>
    <s v="USD"/>
    <n v="1401426000"/>
    <n v="1402894800"/>
    <x v="548"/>
    <d v="2014-06-16T00:00: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78947368421046"/>
    <x v="1"/>
    <s v="USD"/>
    <n v="1433480400"/>
    <n v="1434430800"/>
    <x v="62"/>
    <d v="2015-06-16T00:00: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76470588235297"/>
    <x v="1"/>
    <s v="USD"/>
    <n v="1555563600"/>
    <n v="1557896400"/>
    <x v="556"/>
    <d v="2019-05-15T00:00: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05950297514879"/>
    <x v="1"/>
    <s v="USD"/>
    <n v="1295676000"/>
    <n v="1297490400"/>
    <x v="557"/>
    <d v="2011-02-12T00:00: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38317757009348"/>
    <x v="1"/>
    <s v="USD"/>
    <n v="1443848400"/>
    <n v="1447394400"/>
    <x v="27"/>
    <d v="2015-11-13T00:00: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125"/>
    <x v="4"/>
    <s v="GBP"/>
    <n v="1457330400"/>
    <n v="1458277200"/>
    <x v="558"/>
    <d v="2016-03-18T00:00: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16591928251117"/>
    <x v="1"/>
    <s v="USD"/>
    <n v="1395550800"/>
    <n v="1395723600"/>
    <x v="559"/>
    <d v="2014-03-25T00:00: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7468354430379"/>
    <x v="1"/>
    <s v="USD"/>
    <n v="1551852000"/>
    <n v="1552197600"/>
    <x v="426"/>
    <d v="2019-03-10T00:00: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307692307692"/>
    <x v="1"/>
    <s v="USD"/>
    <n v="1547618400"/>
    <n v="1549087200"/>
    <x v="560"/>
    <d v="2019-02-02T00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"/>
    <x v="1"/>
    <n v="6406"/>
    <n v="27.998126756166094"/>
    <x v="1"/>
    <s v="USD"/>
    <n v="1355637600"/>
    <n v="1356847200"/>
    <x v="561"/>
    <d v="2012-12-30T00:00:00"/>
    <b v="0"/>
    <b v="0"/>
    <s v="theater/plays"/>
    <x v="3"/>
    <x v="3"/>
  </r>
  <r>
    <n v="611"/>
    <s v="Brady, Cortez and Rodriguez"/>
    <s v="Multi-lateral maximized core"/>
    <n v="8200"/>
    <n v="1136"/>
    <n v="14"/>
    <x v="3"/>
    <n v="15"/>
    <n v="75.733333333333334"/>
    <x v="1"/>
    <s v="USD"/>
    <n v="1374728400"/>
    <n v="1375765200"/>
    <x v="562"/>
    <d v="2013-08-06T00:00: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26041666666664"/>
    <x v="1"/>
    <s v="USD"/>
    <n v="1287810000"/>
    <n v="1289800800"/>
    <x v="563"/>
    <d v="2010-11-15T00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x v="564"/>
    <d v="2017-09-04T00:00: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1701244813278"/>
    <x v="1"/>
    <s v="USD"/>
    <n v="1484114400"/>
    <n v="1485669600"/>
    <x v="565"/>
    <d v="2017-01-29T00:00: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3529411764702"/>
    <x v="6"/>
    <s v="EUR"/>
    <n v="1461906000"/>
    <n v="1462770000"/>
    <x v="566"/>
    <d v="2016-05-09T00:00: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2184873949582"/>
    <x v="4"/>
    <s v="GBP"/>
    <n v="1379653200"/>
    <n v="1379739600"/>
    <x v="567"/>
    <d v="2013-09-21T00:00: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3636363636363"/>
    <x v="1"/>
    <s v="USD"/>
    <n v="1401858000"/>
    <n v="1402722000"/>
    <x v="568"/>
    <d v="2014-06-14T00:00: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0.999165275459092"/>
    <x v="1"/>
    <s v="USD"/>
    <n v="1367470800"/>
    <n v="1369285200"/>
    <x v="569"/>
    <d v="2013-05-23T00:00:00"/>
    <b v="0"/>
    <b v="0"/>
    <s v="publishing/nonfiction"/>
    <x v="5"/>
    <x v="9"/>
  </r>
  <r>
    <n v="619"/>
    <s v="Case LLC"/>
    <s v="Ameliorated foreground methodology"/>
    <n v="195900"/>
    <n v="55757"/>
    <n v="28"/>
    <x v="0"/>
    <n v="648"/>
    <n v="86.044753086419746"/>
    <x v="1"/>
    <s v="USD"/>
    <n v="1304658000"/>
    <n v="1304744400"/>
    <x v="570"/>
    <d v="2011-05-07T00:00: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390625"/>
    <x v="2"/>
    <s v="AUD"/>
    <n v="1467954000"/>
    <n v="1468299600"/>
    <x v="571"/>
    <d v="2016-07-12T00:00: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06063432835816"/>
    <x v="1"/>
    <s v="USD"/>
    <n v="1473742800"/>
    <n v="1474174800"/>
    <x v="572"/>
    <d v="2016-09-18T00:00: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375"/>
    <x v="1"/>
    <s v="USD"/>
    <n v="1523768400"/>
    <n v="1526014800"/>
    <x v="573"/>
    <d v="2018-05-11T00:00: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5.999257333828446"/>
    <x v="4"/>
    <s v="GBP"/>
    <n v="1437022800"/>
    <n v="1437454800"/>
    <x v="574"/>
    <d v="2015-07-21T00:00: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83796296296298"/>
    <x v="1"/>
    <s v="USD"/>
    <n v="1422165600"/>
    <n v="1422684000"/>
    <x v="511"/>
    <d v="2015-01-31T00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596774193548384"/>
    <x v="1"/>
    <s v="USD"/>
    <n v="1580104800"/>
    <n v="1581314400"/>
    <x v="575"/>
    <d v="2020-02-10T00:00: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67724867724874"/>
    <x v="1"/>
    <s v="USD"/>
    <n v="1285650000"/>
    <n v="1286427600"/>
    <x v="576"/>
    <d v="2010-10-07T00:00: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29870129870127"/>
    <x v="4"/>
    <s v="GBP"/>
    <n v="1276664400"/>
    <n v="1278738000"/>
    <x v="577"/>
    <d v="2010-07-10T00:00: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1666666666668"/>
    <x v="1"/>
    <s v="USD"/>
    <n v="1286168400"/>
    <n v="1286427600"/>
    <x v="578"/>
    <d v="2010-10-07T00:00: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68000000000004"/>
    <x v="1"/>
    <s v="USD"/>
    <n v="1467781200"/>
    <n v="1467954000"/>
    <x v="579"/>
    <d v="2016-07-08T00:00: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5517241379311"/>
    <x v="1"/>
    <s v="USD"/>
    <n v="1556686800"/>
    <n v="1557637200"/>
    <x v="580"/>
    <d v="2019-05-12T00:00: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2164544564154"/>
    <x v="1"/>
    <s v="USD"/>
    <n v="1553576400"/>
    <n v="1553922000"/>
    <x v="581"/>
    <d v="2019-03-30T00:00: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5827338129496"/>
    <x v="1"/>
    <s v="USD"/>
    <n v="1414904400"/>
    <n v="1416463200"/>
    <x v="582"/>
    <d v="2014-11-20T00:00: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38095238095238"/>
    <x v="1"/>
    <s v="USD"/>
    <n v="1446876000"/>
    <n v="1447221600"/>
    <x v="336"/>
    <d v="2015-11-11T00:00: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85524728588658"/>
    <x v="1"/>
    <s v="USD"/>
    <n v="1490418000"/>
    <n v="1491627600"/>
    <x v="583"/>
    <d v="2017-04-08T00:00:00"/>
    <b v="0"/>
    <b v="0"/>
    <s v="film &amp; video/television"/>
    <x v="4"/>
    <x v="19"/>
  </r>
  <r>
    <n v="635"/>
    <s v="Mack Ltd"/>
    <s v="Reactive regional access"/>
    <n v="139000"/>
    <n v="158590"/>
    <n v="114"/>
    <x v="1"/>
    <n v="2266"/>
    <n v="69.986760812003524"/>
    <x v="1"/>
    <s v="USD"/>
    <n v="1360389600"/>
    <n v="1363150800"/>
    <x v="584"/>
    <d v="2013-03-13T00:00: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8.998079877112133"/>
    <x v="3"/>
    <s v="DKK"/>
    <n v="1326866400"/>
    <n v="1330754400"/>
    <x v="585"/>
    <d v="2012-03-03T00:00: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4615384615384"/>
    <x v="1"/>
    <s v="USD"/>
    <n v="1479103200"/>
    <n v="1479794400"/>
    <x v="586"/>
    <d v="2016-11-22T00:00: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27659574468083"/>
    <x v="1"/>
    <s v="USD"/>
    <n v="1280206800"/>
    <n v="1281243600"/>
    <x v="587"/>
    <d v="2010-08-08T00:00:00"/>
    <b v="0"/>
    <b v="1"/>
    <s v="theater/plays"/>
    <x v="3"/>
    <x v="3"/>
  </r>
  <r>
    <n v="639"/>
    <s v="Barnes-Williams"/>
    <s v="Upgradable explicit forecast"/>
    <n v="8600"/>
    <n v="4832"/>
    <n v="56"/>
    <x v="2"/>
    <n v="45"/>
    <n v="107.37777777777778"/>
    <x v="1"/>
    <s v="USD"/>
    <n v="1532754000"/>
    <n v="1532754000"/>
    <x v="588"/>
    <d v="2018-07-28T00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2178988326849"/>
    <x v="1"/>
    <s v="USD"/>
    <n v="1453096800"/>
    <n v="1453356000"/>
    <x v="589"/>
    <d v="2016-01-21T00:00: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28865979381445"/>
    <x v="5"/>
    <s v="CHF"/>
    <n v="1487570400"/>
    <n v="1489986000"/>
    <x v="590"/>
    <d v="2017-03-20T00:00: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3643410852713"/>
    <x v="0"/>
    <s v="CAD"/>
    <n v="1545026400"/>
    <n v="1545804000"/>
    <x v="591"/>
    <d v="2018-12-26T00:00: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2666666666664"/>
    <x v="1"/>
    <s v="USD"/>
    <n v="1488348000"/>
    <n v="1489899600"/>
    <x v="592"/>
    <d v="2017-03-19T00:00: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x v="593"/>
    <d v="2019-01-03T00:00: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7.999361294443261"/>
    <x v="1"/>
    <s v="USD"/>
    <n v="1537938000"/>
    <n v="1539752400"/>
    <x v="594"/>
    <d v="2018-10-17T00:00: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29.999313893653515"/>
    <x v="1"/>
    <s v="USD"/>
    <n v="1363150800"/>
    <n v="1364101200"/>
    <x v="595"/>
    <d v="2013-03-24T00:00: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x v="596"/>
    <d v="2018-05-03T00:00: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4467496542185"/>
    <x v="1"/>
    <s v="USD"/>
    <n v="1499317200"/>
    <n v="1500872400"/>
    <x v="597"/>
    <d v="2017-07-24T00:00: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1627906976742"/>
    <x v="5"/>
    <s v="CHF"/>
    <n v="1287550800"/>
    <n v="1288501200"/>
    <x v="598"/>
    <d v="2010-10-31T00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x v="599"/>
    <d v="2014-08-04T00:00: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4570837642193"/>
    <x v="6"/>
    <s v="EUR"/>
    <n v="1393048800"/>
    <n v="1394344800"/>
    <x v="600"/>
    <d v="2014-03-09T00:00: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2224938875306"/>
    <x v="1"/>
    <s v="USD"/>
    <n v="1470373200"/>
    <n v="1474088400"/>
    <x v="601"/>
    <d v="2016-09-17T00:00: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0085470085472"/>
    <x v="1"/>
    <s v="USD"/>
    <n v="1460091600"/>
    <n v="1460264400"/>
    <x v="602"/>
    <d v="2016-04-10T00:00: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8.9973474801061"/>
    <x v="1"/>
    <s v="USD"/>
    <n v="1440392400"/>
    <n v="1440824400"/>
    <x v="335"/>
    <d v="2015-08-29T00:00: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45454545454547"/>
    <x v="1"/>
    <s v="USD"/>
    <n v="1488434400"/>
    <n v="1489554000"/>
    <x v="603"/>
    <d v="2017-03-15T00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66269841269835"/>
    <x v="2"/>
    <s v="AUD"/>
    <n v="1514440800"/>
    <n v="1514872800"/>
    <x v="604"/>
    <d v="2018-01-02T00:00: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57142857142854"/>
    <x v="1"/>
    <s v="USD"/>
    <n v="1514354400"/>
    <n v="1515736800"/>
    <x v="605"/>
    <d v="2018-01-12T00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256410256417"/>
    <x v="1"/>
    <s v="USD"/>
    <n v="1440910800"/>
    <n v="1442898000"/>
    <x v="606"/>
    <d v="2015-09-22T00:00: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3333333333335"/>
    <x v="4"/>
    <s v="GBP"/>
    <n v="1296108000"/>
    <n v="1296194400"/>
    <x v="65"/>
    <d v="2011-01-28T00:00: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597402597402592"/>
    <x v="1"/>
    <s v="USD"/>
    <n v="1440133200"/>
    <n v="1440910800"/>
    <x v="607"/>
    <d v="2015-08-30T00:00: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7446808510639"/>
    <x v="3"/>
    <s v="DKK"/>
    <n v="1332910800"/>
    <n v="1335502800"/>
    <x v="608"/>
    <d v="2012-04-27T00:00: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4732824427482"/>
    <x v="1"/>
    <s v="USD"/>
    <n v="1544335200"/>
    <n v="1544680800"/>
    <x v="609"/>
    <d v="2018-12-13T00:00: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1609195402297"/>
    <x v="1"/>
    <s v="USD"/>
    <n v="1286427600"/>
    <n v="1288414800"/>
    <x v="610"/>
    <d v="2010-10-30T00:00: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4.99623706491063"/>
    <x v="1"/>
    <s v="USD"/>
    <n v="1329717600"/>
    <n v="1330581600"/>
    <x v="541"/>
    <d v="2012-03-01T00:00: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2794117647058"/>
    <x v="1"/>
    <s v="USD"/>
    <n v="1310187600"/>
    <n v="1311397200"/>
    <x v="611"/>
    <d v="2011-07-23T00:00: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x v="612"/>
    <d v="2013-09-05T00:00: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09546539379475"/>
    <x v="1"/>
    <s v="USD"/>
    <n v="1410325200"/>
    <n v="1411102800"/>
    <x v="613"/>
    <d v="2014-09-19T00:00: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210526315789"/>
    <x v="1"/>
    <s v="USD"/>
    <n v="1343797200"/>
    <n v="1344834000"/>
    <x v="614"/>
    <d v="2012-08-13T00:00: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038864898211"/>
    <x v="6"/>
    <s v="EUR"/>
    <n v="1498453200"/>
    <n v="1499230800"/>
    <x v="615"/>
    <d v="2017-07-05T00:00:00"/>
    <b v="0"/>
    <b v="0"/>
    <s v="theater/plays"/>
    <x v="3"/>
    <x v="3"/>
  </r>
  <r>
    <n v="670"/>
    <s v="Robinson Group"/>
    <s v="Re-contextualized homogeneous flexibility"/>
    <n v="16200"/>
    <n v="75955"/>
    <n v="469"/>
    <x v="1"/>
    <n v="1101"/>
    <n v="68.987284287011803"/>
    <x v="1"/>
    <s v="USD"/>
    <n v="1456380000"/>
    <n v="1457416800"/>
    <x v="90"/>
    <d v="2016-03-08T00:00: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236719478098"/>
    <x v="1"/>
    <s v="USD"/>
    <n v="1280552400"/>
    <n v="1280898000"/>
    <x v="616"/>
    <d v="2010-08-04T00:00:00"/>
    <b v="0"/>
    <b v="1"/>
    <s v="theater/plays"/>
    <x v="3"/>
    <x v="3"/>
  </r>
  <r>
    <n v="672"/>
    <s v="Kelly-Colon"/>
    <s v="Stand-alone grid-enabled leverage"/>
    <n v="197900"/>
    <n v="110689"/>
    <n v="56"/>
    <x v="0"/>
    <n v="4428"/>
    <n v="24.997515808491418"/>
    <x v="2"/>
    <s v="AUD"/>
    <n v="1521608400"/>
    <n v="1522472400"/>
    <x v="617"/>
    <d v="2018-03-31T00:00: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55172413793103"/>
    <x v="6"/>
    <s v="EUR"/>
    <n v="1460696400"/>
    <n v="1462510800"/>
    <x v="618"/>
    <d v="2016-05-06T00:00: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.003284072249592"/>
    <x v="1"/>
    <s v="USD"/>
    <n v="1313730000"/>
    <n v="1317790800"/>
    <x v="619"/>
    <d v="2011-10-05T00:00: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392749244713"/>
    <x v="1"/>
    <s v="USD"/>
    <n v="1568178000"/>
    <n v="1568782800"/>
    <x v="620"/>
    <d v="2019-09-18T00:00: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3760683760684"/>
    <x v="1"/>
    <s v="USD"/>
    <n v="1348635600"/>
    <n v="1349413200"/>
    <x v="621"/>
    <d v="2012-10-05T00:00: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27927927927925"/>
    <x v="1"/>
    <s v="USD"/>
    <n v="1468126800"/>
    <n v="1472446800"/>
    <x v="622"/>
    <d v="2016-08-29T00:00: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58139534883716"/>
    <x v="1"/>
    <s v="USD"/>
    <n v="1547877600"/>
    <n v="1548050400"/>
    <x v="35"/>
    <d v="2019-01-21T00:00: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520661157025"/>
    <x v="1"/>
    <s v="USD"/>
    <n v="1571374800"/>
    <n v="1571806800"/>
    <x v="623"/>
    <d v="2019-10-23T00:00: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3908629441627"/>
    <x v="1"/>
    <s v="USD"/>
    <n v="1576303200"/>
    <n v="1576476000"/>
    <x v="624"/>
    <d v="2019-12-16T00:00: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78877489438744"/>
    <x v="1"/>
    <s v="USD"/>
    <n v="1324447200"/>
    <n v="1324965600"/>
    <x v="625"/>
    <d v="2011-12-27T00:00: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28155339805824"/>
    <x v="1"/>
    <s v="USD"/>
    <n v="1386741600"/>
    <n v="1387519200"/>
    <x v="626"/>
    <d v="2013-12-20T00:00: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1632653061227"/>
    <x v="1"/>
    <s v="USD"/>
    <n v="1537074000"/>
    <n v="1537246800"/>
    <x v="627"/>
    <d v="2018-09-18T00:00: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0909090909093"/>
    <x v="0"/>
    <s v="CAD"/>
    <n v="1277787600"/>
    <n v="1279515600"/>
    <x v="628"/>
    <d v="2010-07-19T00:00: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291576673866"/>
    <x v="0"/>
    <s v="CAD"/>
    <n v="1440306000"/>
    <n v="1442379600"/>
    <x v="629"/>
    <d v="2015-09-16T00:00: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089552238806"/>
    <x v="1"/>
    <s v="USD"/>
    <n v="1522126800"/>
    <n v="1523077200"/>
    <x v="630"/>
    <d v="2018-04-07T00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x v="631"/>
    <d v="2017-03-15T00:00: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37142857142862"/>
    <x v="1"/>
    <s v="USD"/>
    <n v="1547100000"/>
    <n v="1548482400"/>
    <x v="632"/>
    <d v="2019-01-26T00:00: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275362318841"/>
    <x v="1"/>
    <s v="USD"/>
    <n v="1383022800"/>
    <n v="1384063200"/>
    <x v="633"/>
    <d v="2013-11-10T00:00: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3684210526316"/>
    <x v="1"/>
    <s v="USD"/>
    <n v="1322373600"/>
    <n v="1322892000"/>
    <x v="634"/>
    <d v="2011-12-03T00:00: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37974683544302"/>
    <x v="1"/>
    <s v="USD"/>
    <n v="1349240400"/>
    <n v="1350709200"/>
    <x v="635"/>
    <d v="2012-10-20T00:00: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3376623376629"/>
    <x v="4"/>
    <s v="GBP"/>
    <n v="1562648400"/>
    <n v="1564203600"/>
    <x v="636"/>
    <d v="2019-07-27T00:00: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16018306636155"/>
    <x v="1"/>
    <s v="USD"/>
    <n v="1508216400"/>
    <n v="1509685200"/>
    <x v="637"/>
    <d v="2017-11-03T00:00: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1392405063296"/>
    <x v="1"/>
    <s v="USD"/>
    <n v="1511762400"/>
    <n v="1514959200"/>
    <x v="638"/>
    <d v="2018-01-03T00:00: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67346938775512"/>
    <x v="6"/>
    <s v="EUR"/>
    <n v="1447480800"/>
    <n v="1448863200"/>
    <x v="639"/>
    <d v="2015-11-30T00:00: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8537682789652"/>
    <x v="1"/>
    <s v="USD"/>
    <n v="1429506000"/>
    <n v="1429592400"/>
    <x v="640"/>
    <d v="2015-04-21T00:00: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6.999314599040439"/>
    <x v="1"/>
    <s v="USD"/>
    <n v="1522472400"/>
    <n v="1522645200"/>
    <x v="641"/>
    <d v="2018-04-02T00:00: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.004147943311438"/>
    <x v="0"/>
    <s v="CAD"/>
    <n v="1322114400"/>
    <n v="1323324000"/>
    <x v="642"/>
    <d v="2011-12-08T00:00: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1785714285714"/>
    <x v="1"/>
    <s v="USD"/>
    <n v="1561438800"/>
    <n v="1561525200"/>
    <x v="230"/>
    <d v="2019-06-26T00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x v="67"/>
    <d v="2010-02-09T00:00: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268292682927"/>
    <x v="1"/>
    <s v="USD"/>
    <n v="1301202000"/>
    <n v="1301806800"/>
    <x v="643"/>
    <d v="2011-04-03T00:00: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46987951807228"/>
    <x v="1"/>
    <s v="USD"/>
    <n v="1374469200"/>
    <n v="1374901200"/>
    <x v="644"/>
    <d v="2013-07-27T00:00: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0608439646708"/>
    <x v="1"/>
    <s v="USD"/>
    <n v="1334984400"/>
    <n v="1336453200"/>
    <x v="645"/>
    <d v="2012-05-08T00:00: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8620689655173"/>
    <x v="1"/>
    <s v="USD"/>
    <n v="1467608400"/>
    <n v="1468904400"/>
    <x v="646"/>
    <d v="2016-07-19T00:00: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86666666666665"/>
    <x v="4"/>
    <s v="GBP"/>
    <n v="1386741600"/>
    <n v="1387087200"/>
    <x v="626"/>
    <d v="2013-12-15T00:00: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3791821561339"/>
    <x v="2"/>
    <s v="AUD"/>
    <n v="1546754400"/>
    <n v="1547445600"/>
    <x v="647"/>
    <d v="2019-01-14T00:00: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2619047619051"/>
    <x v="1"/>
    <s v="USD"/>
    <n v="1544248800"/>
    <n v="1547359200"/>
    <x v="159"/>
    <d v="2019-01-13T00:00: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37226277372258"/>
    <x v="5"/>
    <s v="CHF"/>
    <n v="1495429200"/>
    <n v="1496293200"/>
    <x v="648"/>
    <d v="2017-06-01T00:00: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1505376344081"/>
    <x v="6"/>
    <s v="EUR"/>
    <n v="1334811600"/>
    <n v="1335416400"/>
    <x v="267"/>
    <d v="2012-04-26T00:00: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3999999999997"/>
    <x v="1"/>
    <s v="USD"/>
    <n v="1531544400"/>
    <n v="1532149200"/>
    <x v="649"/>
    <d v="2018-07-21T00:00: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x v="248"/>
    <d v="2016-01-26T00:00: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896039603960389"/>
    <x v="1"/>
    <s v="USD"/>
    <n v="1467954000"/>
    <n v="1471496400"/>
    <x v="571"/>
    <d v="2016-08-18T00:00: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8543689320388"/>
    <x v="1"/>
    <s v="USD"/>
    <n v="1471842000"/>
    <n v="1472878800"/>
    <x v="650"/>
    <d v="2016-09-03T00:00:00"/>
    <b v="0"/>
    <b v="0"/>
    <s v="publishing/radio &amp; podcasts"/>
    <x v="5"/>
    <x v="15"/>
  </r>
  <r>
    <n v="714"/>
    <s v="Evans-Jones"/>
    <s v="Switchable methodical superstructure"/>
    <n v="38500"/>
    <n v="182036"/>
    <n v="473"/>
    <x v="1"/>
    <n v="1785"/>
    <n v="101.98095238095237"/>
    <x v="1"/>
    <s v="USD"/>
    <n v="1408424400"/>
    <n v="1408510800"/>
    <x v="1"/>
    <d v="2014-08-20T00:00: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09146341463413"/>
    <x v="1"/>
    <s v="USD"/>
    <n v="1281157200"/>
    <n v="1281589200"/>
    <x v="651"/>
    <d v="2010-08-12T00:00: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2675159235662"/>
    <x v="1"/>
    <s v="USD"/>
    <n v="1373432400"/>
    <n v="1375851600"/>
    <x v="652"/>
    <d v="2013-08-07T00:00: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87387387387386"/>
    <x v="1"/>
    <s v="USD"/>
    <n v="1313989200"/>
    <n v="1315803600"/>
    <x v="653"/>
    <d v="2011-09-12T00:00: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.003367003367003"/>
    <x v="1"/>
    <s v="USD"/>
    <n v="1371445200"/>
    <n v="1373691600"/>
    <x v="654"/>
    <d v="2013-07-13T00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x v="655"/>
    <d v="2012-06-09T00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1052631578945"/>
    <x v="3"/>
    <s v="DKK"/>
    <n v="1519192800"/>
    <n v="1520402400"/>
    <x v="656"/>
    <d v="2018-03-07T00:00: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3333333333334"/>
    <x v="1"/>
    <s v="USD"/>
    <n v="1522818000"/>
    <n v="1523336400"/>
    <x v="657"/>
    <d v="2018-04-10T00:00: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.00197628458498"/>
    <x v="1"/>
    <s v="USD"/>
    <n v="1509948000"/>
    <n v="1512280800"/>
    <x v="265"/>
    <d v="2017-12-03T00:00: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3888888888886"/>
    <x v="2"/>
    <s v="AUD"/>
    <n v="1456898400"/>
    <n v="1458709200"/>
    <x v="658"/>
    <d v="2016-03-23T00:00: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66115702479337"/>
    <x v="4"/>
    <s v="GBP"/>
    <n v="1413954000"/>
    <n v="1414126800"/>
    <x v="659"/>
    <d v="2014-10-24T00:00: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08145363408524"/>
    <x v="1"/>
    <s v="USD"/>
    <n v="1416031200"/>
    <n v="1416204000"/>
    <x v="660"/>
    <d v="2014-11-17T00:00: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36259541984734"/>
    <x v="1"/>
    <s v="USD"/>
    <n v="1287982800"/>
    <n v="1288501200"/>
    <x v="661"/>
    <d v="2010-10-31T00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x v="4"/>
    <d v="2019-03-19T00:00: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x v="662"/>
    <d v="2016-06-05T00:00: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1311475409834"/>
    <x v="1"/>
    <s v="USD"/>
    <n v="1359957600"/>
    <n v="1360130400"/>
    <x v="663"/>
    <d v="2013-02-06T00:00: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6825396825396"/>
    <x v="0"/>
    <s v="CAD"/>
    <n v="1432357200"/>
    <n v="1432875600"/>
    <x v="664"/>
    <d v="2015-05-29T00:00: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68036529680369"/>
    <x v="1"/>
    <s v="USD"/>
    <n v="1500786000"/>
    <n v="1500872400"/>
    <x v="665"/>
    <d v="2017-07-24T00:00: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05352363960753"/>
    <x v="1"/>
    <s v="USD"/>
    <n v="1490158800"/>
    <n v="1492146000"/>
    <x v="666"/>
    <d v="2017-04-14T00:00: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6632653061225"/>
    <x v="1"/>
    <s v="USD"/>
    <n v="1406178000"/>
    <n v="1407301200"/>
    <x v="43"/>
    <d v="2014-08-06T00:00: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07462686567163"/>
    <x v="1"/>
    <s v="USD"/>
    <n v="1485583200"/>
    <n v="1486620000"/>
    <x v="667"/>
    <d v="2017-02-09T00:00: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5.998995479658461"/>
    <x v="1"/>
    <s v="USD"/>
    <n v="1459314000"/>
    <n v="1459918800"/>
    <x v="668"/>
    <d v="2016-04-06T00:00: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482758620689"/>
    <x v="1"/>
    <s v="USD"/>
    <n v="1424412000"/>
    <n v="1424757600"/>
    <x v="669"/>
    <d v="2015-02-24T00:00: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3333333333334"/>
    <x v="1"/>
    <s v="USD"/>
    <n v="1478844000"/>
    <n v="1479880800"/>
    <x v="670"/>
    <d v="2016-11-23T00:00: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x v="671"/>
    <d v="2014-12-08T00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x v="672"/>
    <d v="2012-06-30T00:00: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x v="673"/>
    <d v="2017-02-06T00:00: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4615384615384"/>
    <x v="1"/>
    <s v="USD"/>
    <n v="1274590800"/>
    <n v="1274677200"/>
    <x v="674"/>
    <d v="2010-05-24T00:00: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229508196721"/>
    <x v="1"/>
    <s v="USD"/>
    <n v="1263880800"/>
    <n v="1267509600"/>
    <x v="675"/>
    <d v="2010-03-02T00:00: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47058823529413"/>
    <x v="1"/>
    <s v="USD"/>
    <n v="1445403600"/>
    <n v="1445922000"/>
    <x v="676"/>
    <d v="2015-10-27T00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x v="342"/>
    <d v="2018-08-12T00:00: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x v="677"/>
    <d v="2010-06-26T00:00: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x v="678"/>
    <d v="2011-10-14T00:00: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x v="679"/>
    <d v="2010-09-13T00:00: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231270358306"/>
    <x v="1"/>
    <s v="USD"/>
    <n v="1267423200"/>
    <n v="1269579600"/>
    <x v="680"/>
    <d v="2010-03-26T00:00: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59016393442624"/>
    <x v="6"/>
    <s v="EUR"/>
    <n v="1412744400"/>
    <n v="1413781200"/>
    <x v="681"/>
    <d v="2014-10-20T00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x v="682"/>
    <d v="2010-07-26T00:00:00"/>
    <b v="0"/>
    <b v="0"/>
    <s v="music/electric music"/>
    <x v="1"/>
    <x v="5"/>
  </r>
  <r>
    <n v="751"/>
    <s v="Lane-Barber"/>
    <s v="Universal value-added moderator"/>
    <n v="3600"/>
    <n v="8363"/>
    <n v="232"/>
    <x v="1"/>
    <n v="270"/>
    <n v="30.974074074074075"/>
    <x v="1"/>
    <s v="USD"/>
    <n v="1458190800"/>
    <n v="1459486800"/>
    <x v="683"/>
    <d v="2016-04-01T00:00: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35087719298247"/>
    <x v="1"/>
    <s v="USD"/>
    <n v="1280984400"/>
    <n v="1282539600"/>
    <x v="684"/>
    <d v="2010-08-23T00:00: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65693430656935"/>
    <x v="1"/>
    <s v="USD"/>
    <n v="1274590800"/>
    <n v="1275886800"/>
    <x v="674"/>
    <d v="2010-06-07T00:00: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05616224648989"/>
    <x v="1"/>
    <s v="USD"/>
    <n v="1351400400"/>
    <n v="1355983200"/>
    <x v="685"/>
    <d v="2012-12-20T00:00: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27777777777779"/>
    <x v="3"/>
    <s v="DKK"/>
    <n v="1514354400"/>
    <n v="1515391200"/>
    <x v="605"/>
    <d v="2018-01-08T00:00: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7567567567565"/>
    <x v="1"/>
    <s v="USD"/>
    <n v="1421733600"/>
    <n v="1422252000"/>
    <x v="686"/>
    <d v="2015-01-26T00:00: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4912280701753"/>
    <x v="1"/>
    <s v="USD"/>
    <n v="1305176400"/>
    <n v="1305522000"/>
    <x v="687"/>
    <d v="2011-05-16T00:00: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1646903820817"/>
    <x v="0"/>
    <s v="CAD"/>
    <n v="1414126800"/>
    <n v="1414904400"/>
    <x v="688"/>
    <d v="2014-11-02T00:00: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4678178963894"/>
    <x v="1"/>
    <s v="USD"/>
    <n v="1517810400"/>
    <n v="1520402400"/>
    <x v="689"/>
    <d v="2018-03-07T00:00: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09523809523813"/>
    <x v="6"/>
    <s v="EUR"/>
    <n v="1564635600"/>
    <n v="1567141200"/>
    <x v="690"/>
    <d v="2019-08-30T00:00: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67469879518069"/>
    <x v="1"/>
    <s v="USD"/>
    <n v="1500699600"/>
    <n v="1501131600"/>
    <x v="691"/>
    <d v="2017-07-27T00:00: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x v="692"/>
    <d v="2012-12-09T00:00:00"/>
    <b v="0"/>
    <b v="0"/>
    <s v="music/jazz"/>
    <x v="1"/>
    <x v="17"/>
  </r>
  <r>
    <n v="763"/>
    <s v="Rowland PLC"/>
    <s v="Inverse client-driven product"/>
    <n v="5600"/>
    <n v="6338"/>
    <n v="113"/>
    <x v="1"/>
    <n v="235"/>
    <n v="26.970212765957445"/>
    <x v="1"/>
    <s v="USD"/>
    <n v="1336453200"/>
    <n v="1339477200"/>
    <x v="693"/>
    <d v="2012-06-12T00:00: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1621621621621"/>
    <x v="1"/>
    <s v="USD"/>
    <n v="1305262800"/>
    <n v="1305954000"/>
    <x v="694"/>
    <d v="2011-05-21T00:00: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35353535353536"/>
    <x v="1"/>
    <s v="USD"/>
    <n v="1492232400"/>
    <n v="1494392400"/>
    <x v="695"/>
    <d v="2017-05-10T00:00: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2419354838712"/>
    <x v="2"/>
    <s v="AUD"/>
    <n v="1537333200"/>
    <n v="1537419600"/>
    <x v="123"/>
    <d v="2018-09-20T00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7"/>
    <x v="0"/>
    <n v="513"/>
    <n v="107.93762183235867"/>
    <x v="1"/>
    <s v="USD"/>
    <n v="1444107600"/>
    <n v="1447999200"/>
    <x v="696"/>
    <d v="2015-11-20T00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x v="626"/>
    <d v="2013-12-26T00:00: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1.995894428152493"/>
    <x v="1"/>
    <s v="USD"/>
    <n v="1376542800"/>
    <n v="1378789200"/>
    <x v="697"/>
    <d v="2013-09-10T00:00: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898148148148145"/>
    <x v="6"/>
    <s v="EUR"/>
    <n v="1397451600"/>
    <n v="1398056400"/>
    <x v="698"/>
    <d v="2014-04-21T00:00: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x v="699"/>
    <d v="2019-02-22T00:00:00"/>
    <b v="0"/>
    <b v="0"/>
    <s v="theater/plays"/>
    <x v="3"/>
    <x v="3"/>
  </r>
  <r>
    <n v="772"/>
    <s v="Johnson-Pace"/>
    <s v="Persistent 3rdgeneration moratorium"/>
    <n v="149600"/>
    <n v="169586"/>
    <n v="113"/>
    <x v="1"/>
    <n v="5139"/>
    <n v="32.999805409612762"/>
    <x v="1"/>
    <s v="USD"/>
    <n v="1549692000"/>
    <n v="1550037600"/>
    <x v="700"/>
    <d v="2019-02-13T00:00: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.00254993625159"/>
    <x v="1"/>
    <s v="USD"/>
    <n v="1492059600"/>
    <n v="1492923600"/>
    <x v="701"/>
    <d v="2017-04-23T00:00: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58974358974365"/>
    <x v="6"/>
    <s v="EUR"/>
    <n v="1463979600"/>
    <n v="1467522000"/>
    <x v="702"/>
    <d v="2016-07-03T00:00: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x v="703"/>
    <d v="2014-11-16T00:00: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2.995456610631528"/>
    <x v="1"/>
    <s v="USD"/>
    <n v="1562216400"/>
    <n v="1563771600"/>
    <x v="704"/>
    <d v="2019-07-22T00:00: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28106508875737"/>
    <x v="1"/>
    <s v="USD"/>
    <n v="1316754000"/>
    <n v="1319259600"/>
    <x v="431"/>
    <d v="2011-10-22T00:00: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67816091954026"/>
    <x v="5"/>
    <s v="CHF"/>
    <n v="1313211600"/>
    <n v="1313643600"/>
    <x v="705"/>
    <d v="2011-08-18T00:00: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4572803850782"/>
    <x v="1"/>
    <s v="USD"/>
    <n v="1439528400"/>
    <n v="1440306000"/>
    <x v="706"/>
    <d v="2015-08-23T00:00: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54878048780488"/>
    <x v="1"/>
    <s v="USD"/>
    <n v="1469163600"/>
    <n v="1470805200"/>
    <x v="707"/>
    <d v="2016-08-10T00:00: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21428571428569"/>
    <x v="5"/>
    <s v="CHF"/>
    <n v="1288501200"/>
    <n v="1292911200"/>
    <x v="708"/>
    <d v="2010-12-21T00:00: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04968944099377"/>
    <x v="1"/>
    <s v="USD"/>
    <n v="1298959200"/>
    <n v="1301374800"/>
    <x v="709"/>
    <d v="2011-03-29T00:00: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1884057971016"/>
    <x v="1"/>
    <s v="USD"/>
    <n v="1387260000"/>
    <n v="1387864800"/>
    <x v="710"/>
    <d v="2013-12-24T00:00:00"/>
    <b v="0"/>
    <b v="0"/>
    <s v="music/rock"/>
    <x v="1"/>
    <x v="1"/>
  </r>
  <r>
    <n v="784"/>
    <s v="Byrd Group"/>
    <s v="Profound fault-tolerant model"/>
    <n v="88900"/>
    <n v="102535"/>
    <n v="115"/>
    <x v="1"/>
    <n v="3308"/>
    <n v="30.996070133010882"/>
    <x v="1"/>
    <s v="USD"/>
    <n v="1457244000"/>
    <n v="1458190800"/>
    <x v="711"/>
    <d v="2016-03-17T00:00: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188976377953"/>
    <x v="2"/>
    <s v="AUD"/>
    <n v="1556341200"/>
    <n v="1559278800"/>
    <x v="157"/>
    <d v="2019-05-31T00:00: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79227053140099"/>
    <x v="6"/>
    <s v="EUR"/>
    <n v="1522126800"/>
    <n v="1522731600"/>
    <x v="630"/>
    <d v="2018-04-03T00:00: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05820721769496"/>
    <x v="0"/>
    <s v="CAD"/>
    <n v="1305954000"/>
    <n v="1306731600"/>
    <x v="712"/>
    <d v="2011-05-30T00:00: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8709677419355"/>
    <x v="1"/>
    <s v="USD"/>
    <n v="1350709200"/>
    <n v="1352527200"/>
    <x v="93"/>
    <d v="2012-11-10T00:00: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66666666666669"/>
    <x v="1"/>
    <s v="USD"/>
    <n v="1401166800"/>
    <n v="1404363600"/>
    <x v="713"/>
    <d v="2014-07-03T00:00: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09883198562441"/>
    <x v="1"/>
    <s v="USD"/>
    <n v="1266127200"/>
    <n v="1266645600"/>
    <x v="714"/>
    <d v="2010-02-20T00:00: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x v="715"/>
    <d v="2016-12-27T00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x v="716"/>
    <d v="2013-07-24T00:00: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71823204419886"/>
    <x v="5"/>
    <s v="CHF"/>
    <n v="1372136400"/>
    <n v="1372482000"/>
    <x v="448"/>
    <d v="2013-06-29T00:00: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6363636363635"/>
    <x v="1"/>
    <s v="USD"/>
    <n v="1513922400"/>
    <n v="1514959200"/>
    <x v="717"/>
    <d v="2018-01-03T00:00:00"/>
    <b v="0"/>
    <b v="0"/>
    <s v="music/rock"/>
    <x v="1"/>
    <x v="1"/>
  </r>
  <r>
    <n v="795"/>
    <s v="Vasquez Inc"/>
    <s v="Stand-alone asynchronous functionalities"/>
    <n v="7100"/>
    <n v="1022"/>
    <n v="14"/>
    <x v="0"/>
    <n v="31"/>
    <n v="32.967741935483872"/>
    <x v="1"/>
    <s v="USD"/>
    <n v="1477976400"/>
    <n v="1478235600"/>
    <x v="718"/>
    <d v="2016-11-04T00:00:00"/>
    <b v="0"/>
    <b v="0"/>
    <s v="film &amp; video/drama"/>
    <x v="4"/>
    <x v="6"/>
  </r>
  <r>
    <n v="796"/>
    <s v="Freeman-Ferguson"/>
    <s v="Profound full-range open system"/>
    <n v="7800"/>
    <n v="4275"/>
    <n v="55"/>
    <x v="0"/>
    <n v="78"/>
    <n v="54.807692307692307"/>
    <x v="1"/>
    <s v="USD"/>
    <n v="1407474000"/>
    <n v="1408078800"/>
    <x v="719"/>
    <d v="2014-08-15T00:00:00"/>
    <b v="0"/>
    <b v="1"/>
    <s v="games/mobile games"/>
    <x v="6"/>
    <x v="20"/>
  </r>
  <r>
    <n v="797"/>
    <s v="Houston, Moore and Rogers"/>
    <s v="Optional tangible utilization"/>
    <n v="7600"/>
    <n v="8332"/>
    <n v="110"/>
    <x v="1"/>
    <n v="185"/>
    <n v="45.037837837837834"/>
    <x v="1"/>
    <s v="USD"/>
    <n v="1546149600"/>
    <n v="1548136800"/>
    <x v="720"/>
    <d v="2019-01-22T00:00: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58677685950413"/>
    <x v="1"/>
    <s v="USD"/>
    <n v="1338440400"/>
    <n v="1340859600"/>
    <x v="721"/>
    <d v="2012-06-28T00:00: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17959183673469"/>
    <x v="4"/>
    <s v="GBP"/>
    <n v="1454133600"/>
    <n v="1454479200"/>
    <x v="722"/>
    <d v="2016-02-03T00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x v="139"/>
    <d v="2015-06-16T00:00:00"/>
    <b v="0"/>
    <b v="0"/>
    <s v="music/rock"/>
    <x v="1"/>
    <x v="1"/>
  </r>
  <r>
    <n v="801"/>
    <s v="Olson-Bishop"/>
    <s v="User-friendly high-level initiative"/>
    <n v="2300"/>
    <n v="4667"/>
    <n v="203"/>
    <x v="1"/>
    <n v="106"/>
    <n v="44.028301886792455"/>
    <x v="1"/>
    <s v="USD"/>
    <n v="1577772000"/>
    <n v="1579672800"/>
    <x v="723"/>
    <d v="2020-01-22T00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28169014084511"/>
    <x v="1"/>
    <s v="USD"/>
    <n v="1562216400"/>
    <n v="1562389200"/>
    <x v="704"/>
    <d v="2019-07-06T00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x v="724"/>
    <d v="2019-03-02T00:00: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50458715596328"/>
    <x v="1"/>
    <s v="USD"/>
    <n v="1514872800"/>
    <n v="1516600800"/>
    <x v="725"/>
    <d v="2018-01-22T00:00: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1940298507463"/>
    <x v="2"/>
    <s v="AUD"/>
    <n v="1416031200"/>
    <n v="1420437600"/>
    <x v="660"/>
    <d v="2015-01-05T00:00: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052631578948"/>
    <x v="1"/>
    <s v="USD"/>
    <n v="1330927200"/>
    <n v="1332997200"/>
    <x v="726"/>
    <d v="2012-03-29T00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x v="727"/>
    <d v="2019-11-28T00:00: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15789473684205"/>
    <x v="1"/>
    <s v="USD"/>
    <n v="1463461200"/>
    <n v="1464930000"/>
    <x v="728"/>
    <d v="2016-06-03T00:00: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x v="729"/>
    <d v="2012-08-15T00:00: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27601809954751"/>
    <x v="1"/>
    <s v="USD"/>
    <n v="1511848800"/>
    <n v="1512712800"/>
    <x v="730"/>
    <d v="2017-12-08T00:00: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3681885125184"/>
    <x v="1"/>
    <s v="USD"/>
    <n v="1452319200"/>
    <n v="1452492000"/>
    <x v="731"/>
    <d v="2016-01-11T00:00:00"/>
    <b v="0"/>
    <b v="1"/>
    <s v="games/video games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n v="1524286800"/>
    <x v="78"/>
    <d v="2018-04-21T00:00: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176470588235"/>
    <x v="1"/>
    <s v="USD"/>
    <n v="1346043600"/>
    <n v="1346907600"/>
    <x v="732"/>
    <d v="2012-09-06T00:00: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4444444444443"/>
    <x v="3"/>
    <s v="DKK"/>
    <n v="1464325200"/>
    <n v="1464498000"/>
    <x v="733"/>
    <d v="2016-05-29T00:00: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49180327868854"/>
    <x v="0"/>
    <s v="CAD"/>
    <n v="1511935200"/>
    <n v="1514181600"/>
    <x v="734"/>
    <d v="2017-12-25T00:00: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097744360902"/>
    <x v="1"/>
    <s v="USD"/>
    <n v="1392012000"/>
    <n v="1392184800"/>
    <x v="406"/>
    <d v="2014-02-12T00:00: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1249497790274"/>
    <x v="6"/>
    <s v="EUR"/>
    <n v="1556946000"/>
    <n v="1559365200"/>
    <x v="735"/>
    <d v="2019-06-01T00:00: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246376811594"/>
    <x v="1"/>
    <s v="USD"/>
    <n v="1548050400"/>
    <n v="1549173600"/>
    <x v="736"/>
    <d v="2019-02-03T00:00: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36170212765958"/>
    <x v="1"/>
    <s v="USD"/>
    <n v="1353736800"/>
    <n v="1355032800"/>
    <x v="737"/>
    <d v="2012-12-09T00:00: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3010752688176"/>
    <x v="4"/>
    <s v="GBP"/>
    <n v="1532840400"/>
    <n v="1533963600"/>
    <x v="192"/>
    <d v="2018-08-11T00:00: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66666666666669"/>
    <x v="1"/>
    <s v="USD"/>
    <n v="1488261600"/>
    <n v="1489381200"/>
    <x v="738"/>
    <d v="2017-03-13T00:00: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1428571428571"/>
    <x v="1"/>
    <s v="USD"/>
    <n v="1393567200"/>
    <n v="1395032400"/>
    <x v="739"/>
    <d v="2014-03-17T00:00: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095238095238095"/>
    <x v="1"/>
    <s v="USD"/>
    <n v="1410325200"/>
    <n v="1412485200"/>
    <x v="613"/>
    <d v="2014-10-05T00:00: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3.996875000000003"/>
    <x v="1"/>
    <s v="USD"/>
    <n v="1276923600"/>
    <n v="1279688400"/>
    <x v="740"/>
    <d v="2010-07-21T00:00: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3503184713375"/>
    <x v="4"/>
    <s v="GBP"/>
    <n v="1500958800"/>
    <n v="1501995600"/>
    <x v="145"/>
    <d v="2017-08-06T00:00: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63917525773198"/>
    <x v="1"/>
    <s v="USD"/>
    <n v="1292220000"/>
    <n v="1294639200"/>
    <x v="741"/>
    <d v="2011-01-10T00:00: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04878048780495"/>
    <x v="2"/>
    <s v="AUD"/>
    <n v="1304398800"/>
    <n v="1305435600"/>
    <x v="742"/>
    <d v="2011-05-15T00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x v="202"/>
    <d v="2018-09-22T00:00: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06493506493506"/>
    <x v="1"/>
    <s v="USD"/>
    <n v="1433826000"/>
    <n v="1435122000"/>
    <x v="743"/>
    <d v="2015-06-24T00:00: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27272727272734"/>
    <x v="1"/>
    <s v="USD"/>
    <n v="1514959200"/>
    <n v="1520056800"/>
    <x v="744"/>
    <d v="2018-03-03T00:00:00"/>
    <b v="0"/>
    <b v="0"/>
    <s v="theater/plays"/>
    <x v="3"/>
    <x v="3"/>
  </r>
  <r>
    <n v="831"/>
    <s v="Ward PLC"/>
    <s v="Front-line bottom-line Graphic Interface"/>
    <n v="97100"/>
    <n v="105817"/>
    <n v="109"/>
    <x v="1"/>
    <n v="4233"/>
    <n v="24.998110087408456"/>
    <x v="1"/>
    <s v="USD"/>
    <n v="1332738000"/>
    <n v="1335675600"/>
    <x v="745"/>
    <d v="2012-04-29T00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7764070932922"/>
    <x v="3"/>
    <s v="DKK"/>
    <n v="1445490000"/>
    <n v="1448431200"/>
    <x v="746"/>
    <d v="2015-11-25T00:00: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7878787878785"/>
    <x v="3"/>
    <s v="DKK"/>
    <n v="1297663200"/>
    <n v="1298613600"/>
    <x v="747"/>
    <d v="2011-02-25T00:00: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2941176470594"/>
    <x v="1"/>
    <s v="USD"/>
    <n v="1371963600"/>
    <n v="1372482000"/>
    <x v="362"/>
    <d v="2013-06-29T00:00: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.001706484641637"/>
    <x v="1"/>
    <s v="USD"/>
    <n v="1425103200"/>
    <n v="1425621600"/>
    <x v="748"/>
    <d v="2015-03-06T00:00: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44680851063833"/>
    <x v="1"/>
    <s v="USD"/>
    <n v="1265349600"/>
    <n v="1266300000"/>
    <x v="749"/>
    <d v="2010-02-16T00:00:00"/>
    <b v="0"/>
    <b v="0"/>
    <s v="music/indie rock"/>
    <x v="1"/>
    <x v="7"/>
  </r>
  <r>
    <n v="837"/>
    <s v="Cook-Ortiz"/>
    <s v="Right-sized dedicated standardization"/>
    <n v="17700"/>
    <n v="150960"/>
    <n v="853"/>
    <x v="1"/>
    <n v="1797"/>
    <n v="84.00667779632721"/>
    <x v="1"/>
    <s v="USD"/>
    <n v="1301202000"/>
    <n v="1305867600"/>
    <x v="643"/>
    <d v="2011-05-20T00:00: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1302681992338"/>
    <x v="1"/>
    <s v="USD"/>
    <n v="1538024400"/>
    <n v="1538802000"/>
    <x v="750"/>
    <d v="2018-10-06T00:00: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3885350318466"/>
    <x v="1"/>
    <s v="USD"/>
    <n v="1395032400"/>
    <n v="1398920400"/>
    <x v="751"/>
    <d v="2014-05-01T00:00: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2.998301726577978"/>
    <x v="1"/>
    <s v="USD"/>
    <n v="1405486800"/>
    <n v="1405659600"/>
    <x v="752"/>
    <d v="2014-07-18T00:00: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2903225806451"/>
    <x v="1"/>
    <s v="USD"/>
    <n v="1455861600"/>
    <n v="1457244000"/>
    <x v="753"/>
    <d v="2016-03-06T00:00: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2424242424242"/>
    <x v="6"/>
    <s v="EUR"/>
    <n v="1529038800"/>
    <n v="1529298000"/>
    <x v="754"/>
    <d v="2018-06-18T00:00: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09090909090907"/>
    <x v="1"/>
    <s v="USD"/>
    <n v="1535259600"/>
    <n v="1535778000"/>
    <x v="755"/>
    <d v="2018-09-01T00:00: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3191489361708"/>
    <x v="1"/>
    <s v="USD"/>
    <n v="1327212000"/>
    <n v="1327471200"/>
    <x v="756"/>
    <d v="2012-01-25T00:00: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449039881831"/>
    <x v="4"/>
    <s v="GBP"/>
    <n v="1526360400"/>
    <n v="1529557200"/>
    <x v="757"/>
    <d v="2018-06-21T00:00: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375"/>
    <x v="1"/>
    <s v="USD"/>
    <n v="1532149200"/>
    <n v="1535259600"/>
    <x v="758"/>
    <d v="2018-08-26T00:00: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181818181818"/>
    <x v="1"/>
    <s v="USD"/>
    <n v="1515304800"/>
    <n v="1515564000"/>
    <x v="759"/>
    <d v="2018-01-10T00:00: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0930232558139"/>
    <x v="1"/>
    <s v="USD"/>
    <n v="1276318800"/>
    <n v="1277096400"/>
    <x v="760"/>
    <d v="2010-06-21T00:00: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45602605863191"/>
    <x v="1"/>
    <s v="USD"/>
    <n v="1328767200"/>
    <n v="1329026400"/>
    <x v="761"/>
    <d v="2012-02-12T00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x v="762"/>
    <d v="2011-12-04T00:00: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24999999999997"/>
    <x v="1"/>
    <s v="USD"/>
    <n v="1335934800"/>
    <n v="1338786000"/>
    <x v="444"/>
    <d v="2012-06-04T00:00: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06451612903231"/>
    <x v="1"/>
    <s v="USD"/>
    <n v="1310792400"/>
    <n v="1311656400"/>
    <x v="763"/>
    <d v="2011-07-26T00:00: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06816632583508"/>
    <x v="0"/>
    <s v="CAD"/>
    <n v="1308546000"/>
    <n v="1308978000"/>
    <x v="764"/>
    <d v="2011-06-25T00:00:00"/>
    <b v="0"/>
    <b v="1"/>
    <s v="music/indie rock"/>
    <x v="1"/>
    <x v="7"/>
  </r>
  <r>
    <n v="854"/>
    <s v="Campbell, Thomas and Obrien"/>
    <s v="Multi-channeled secondary middleware"/>
    <n v="171000"/>
    <n v="194309"/>
    <n v="114"/>
    <x v="1"/>
    <n v="2662"/>
    <n v="72.993613824192337"/>
    <x v="0"/>
    <s v="CAD"/>
    <n v="1574056800"/>
    <n v="1576389600"/>
    <x v="765"/>
    <d v="2019-12-15T00:00: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x v="766"/>
    <d v="2011-07-19T00:00: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4556962025316"/>
    <x v="1"/>
    <s v="USD"/>
    <n v="1335243600"/>
    <n v="1336712400"/>
    <x v="767"/>
    <d v="2012-05-11T00:00: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46666666666665"/>
    <x v="5"/>
    <s v="CHF"/>
    <n v="1328421600"/>
    <n v="1330408800"/>
    <x v="768"/>
    <d v="2012-02-28T00:00: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1428571428567"/>
    <x v="1"/>
    <s v="USD"/>
    <n v="1524286800"/>
    <n v="1524891600"/>
    <x v="769"/>
    <d v="2018-04-28T00:00: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4603174603178"/>
    <x v="1"/>
    <s v="USD"/>
    <n v="1362117600"/>
    <n v="1363669200"/>
    <x v="770"/>
    <d v="2013-03-19T00:00: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769230769229"/>
    <x v="1"/>
    <s v="USD"/>
    <n v="1550556000"/>
    <n v="1551420000"/>
    <x v="771"/>
    <d v="2019-03-01T00:00: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59509202453989"/>
    <x v="1"/>
    <s v="USD"/>
    <n v="1269147600"/>
    <n v="1269838800"/>
    <x v="772"/>
    <d v="2010-03-29T00:00: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7647058823529"/>
    <x v="1"/>
    <s v="USD"/>
    <n v="1312174800"/>
    <n v="1312520400"/>
    <x v="773"/>
    <d v="2011-08-05T00:00: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3917050691246"/>
    <x v="1"/>
    <s v="USD"/>
    <n v="1434517200"/>
    <n v="1436504400"/>
    <x v="774"/>
    <d v="2015-07-10T00:00: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x v="775"/>
    <d v="2016-08-24T00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.000916870415651"/>
    <x v="1"/>
    <s v="USD"/>
    <n v="1410757200"/>
    <n v="1411534800"/>
    <x v="776"/>
    <d v="2014-09-24T00:00: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3385300668153"/>
    <x v="1"/>
    <s v="USD"/>
    <n v="1304830800"/>
    <n v="1304917200"/>
    <x v="777"/>
    <d v="2011-05-09T00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x v="778"/>
    <d v="2018-10-15T00:00: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047619047619"/>
    <x v="1"/>
    <s v="USD"/>
    <n v="1381554000"/>
    <n v="1382504400"/>
    <x v="779"/>
    <d v="2013-10-23T00:00: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8174904942965"/>
    <x v="1"/>
    <s v="USD"/>
    <n v="1277096400"/>
    <n v="1278306000"/>
    <x v="780"/>
    <d v="2010-07-05T00:00: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0082644628099"/>
    <x v="1"/>
    <s v="USD"/>
    <n v="1440392400"/>
    <n v="1442552400"/>
    <x v="335"/>
    <d v="2015-09-18T00:00: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3793103448279"/>
    <x v="1"/>
    <s v="USD"/>
    <n v="1509512400"/>
    <n v="1511071200"/>
    <x v="535"/>
    <d v="2017-11-19T00:00: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66666666666671"/>
    <x v="2"/>
    <s v="AUD"/>
    <n v="1535950800"/>
    <n v="1536382800"/>
    <x v="270"/>
    <d v="2018-09-08T00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07419183889773"/>
    <x v="1"/>
    <s v="USD"/>
    <n v="1389160800"/>
    <n v="1389592800"/>
    <x v="781"/>
    <d v="2014-01-13T00:00: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.002753556677376"/>
    <x v="1"/>
    <s v="USD"/>
    <n v="1271998800"/>
    <n v="1275282000"/>
    <x v="782"/>
    <d v="2010-05-31T00:00: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7164179104481"/>
    <x v="1"/>
    <s v="USD"/>
    <n v="1294898400"/>
    <n v="1294984800"/>
    <x v="783"/>
    <d v="2011-01-14T00:00: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35087719298247"/>
    <x v="0"/>
    <s v="CAD"/>
    <n v="1559970000"/>
    <n v="1562043600"/>
    <x v="784"/>
    <d v="2019-07-02T00:00: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3360455655"/>
    <x v="1"/>
    <s v="USD"/>
    <n v="1469509200"/>
    <n v="1469595600"/>
    <x v="785"/>
    <d v="2016-07-27T00:00: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3333333333329"/>
    <x v="6"/>
    <s v="EUR"/>
    <n v="1579068000"/>
    <n v="1581141600"/>
    <x v="786"/>
    <d v="2020-02-08T00:00: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0377358490567"/>
    <x v="1"/>
    <s v="USD"/>
    <n v="1487743200"/>
    <n v="1488520800"/>
    <x v="787"/>
    <d v="2017-03-03T00:00: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92129246064621"/>
    <x v="1"/>
    <s v="USD"/>
    <n v="1563685200"/>
    <n v="1563858000"/>
    <x v="788"/>
    <d v="2019-07-23T00:00: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55309734513273"/>
    <x v="1"/>
    <s v="USD"/>
    <n v="1436418000"/>
    <n v="1438923600"/>
    <x v="330"/>
    <d v="2015-08-07T00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x v="789"/>
    <d v="2015-01-25T00:00: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1917098445599"/>
    <x v="1"/>
    <s v="USD"/>
    <n v="1274763600"/>
    <n v="1277874000"/>
    <x v="790"/>
    <d v="2010-06-30T00:00: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2576882290564"/>
    <x v="1"/>
    <s v="USD"/>
    <n v="1399179600"/>
    <n v="1399352400"/>
    <x v="791"/>
    <d v="2014-05-06T00:00: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2307692307693"/>
    <x v="1"/>
    <s v="USD"/>
    <n v="1275800400"/>
    <n v="1279083600"/>
    <x v="792"/>
    <d v="2010-07-14T00:00: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69.9972602739726"/>
    <x v="1"/>
    <s v="USD"/>
    <n v="1282798800"/>
    <n v="1284354000"/>
    <x v="793"/>
    <d v="2010-09-13T00:00:00"/>
    <b v="0"/>
    <b v="0"/>
    <s v="music/indie rock"/>
    <x v="1"/>
    <x v="7"/>
  </r>
  <r>
    <n v="887"/>
    <s v="Cooper LLC"/>
    <s v="Multi-layered systematic knowledgebase"/>
    <n v="7800"/>
    <n v="2289"/>
    <n v="29"/>
    <x v="0"/>
    <n v="31"/>
    <n v="73.838709677419359"/>
    <x v="1"/>
    <s v="USD"/>
    <n v="1437109200"/>
    <n v="1441170000"/>
    <x v="794"/>
    <d v="2015-09-02T00:00: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79310344827589"/>
    <x v="1"/>
    <s v="USD"/>
    <n v="1491886800"/>
    <n v="1493528400"/>
    <x v="795"/>
    <d v="2017-04-30T00:00: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442622950819"/>
    <x v="1"/>
    <s v="USD"/>
    <n v="1394600400"/>
    <n v="1395205200"/>
    <x v="796"/>
    <d v="2014-03-19T00:00:00"/>
    <b v="0"/>
    <b v="1"/>
    <s v="music/electric music"/>
    <x v="1"/>
    <x v="5"/>
  </r>
  <r>
    <n v="890"/>
    <s v="Christian, Kim and Jimenez"/>
    <s v="Devolved foreground throughput"/>
    <n v="134400"/>
    <n v="155849"/>
    <n v="116"/>
    <x v="1"/>
    <n v="1470"/>
    <n v="106.01972789115646"/>
    <x v="1"/>
    <s v="USD"/>
    <n v="1561352400"/>
    <n v="1561438800"/>
    <x v="797"/>
    <d v="2019-06-25T00:00: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18181818181816"/>
    <x v="0"/>
    <s v="CAD"/>
    <n v="1322892000"/>
    <n v="1326693600"/>
    <x v="798"/>
    <d v="2012-01-16T00:00: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16483516483518"/>
    <x v="1"/>
    <s v="USD"/>
    <n v="1274418000"/>
    <n v="1277960400"/>
    <x v="799"/>
    <d v="2010-07-01T00:00: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0603015075375"/>
    <x v="6"/>
    <s v="EUR"/>
    <n v="1434344400"/>
    <n v="1434690000"/>
    <x v="800"/>
    <d v="2015-06-19T00:00: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85714285714285"/>
    <x v="4"/>
    <s v="GBP"/>
    <n v="1373518800"/>
    <n v="1376110800"/>
    <x v="801"/>
    <d v="2013-08-10T00:00:00"/>
    <b v="0"/>
    <b v="1"/>
    <s v="film &amp; video/television"/>
    <x v="4"/>
    <x v="19"/>
  </r>
  <r>
    <n v="895"/>
    <s v="Adams-Rollins"/>
    <s v="Integrated demand-driven info-mediaries"/>
    <n v="159800"/>
    <n v="11108"/>
    <n v="7"/>
    <x v="0"/>
    <n v="107"/>
    <n v="103.81308411214954"/>
    <x v="1"/>
    <s v="USD"/>
    <n v="1517637600"/>
    <n v="1518415200"/>
    <x v="802"/>
    <d v="2018-02-12T00:00: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2602739726028"/>
    <x v="2"/>
    <s v="AUD"/>
    <n v="1310619600"/>
    <n v="1310878800"/>
    <x v="803"/>
    <d v="2011-07-17T00:00:00"/>
    <b v="0"/>
    <b v="1"/>
    <s v="food/food trucks"/>
    <x v="0"/>
    <x v="0"/>
  </r>
  <r>
    <n v="897"/>
    <s v="Berry-Cannon"/>
    <s v="Organized discrete encoding"/>
    <n v="8800"/>
    <n v="2437"/>
    <n v="28"/>
    <x v="0"/>
    <n v="27"/>
    <n v="90.259259259259252"/>
    <x v="1"/>
    <s v="USD"/>
    <n v="1556427600"/>
    <n v="1556600400"/>
    <x v="212"/>
    <d v="2019-04-30T00:00: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78705978705975"/>
    <x v="1"/>
    <s v="USD"/>
    <n v="1576476000"/>
    <n v="1576994400"/>
    <x v="804"/>
    <d v="2019-12-22T00:00: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0162601626017"/>
    <x v="5"/>
    <s v="CHF"/>
    <n v="1381122000"/>
    <n v="1382677200"/>
    <x v="805"/>
    <d v="2013-10-25T00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x v="806"/>
    <d v="2014-09-20T00:00: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062893081761"/>
    <x v="1"/>
    <s v="USD"/>
    <n v="1531803600"/>
    <n v="1534654800"/>
    <x v="807"/>
    <d v="2018-08-19T00:00: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27272727272725"/>
    <x v="1"/>
    <s v="USD"/>
    <n v="1454133600"/>
    <n v="1457762400"/>
    <x v="722"/>
    <d v="2016-03-12T00:00: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2857142857146"/>
    <x v="1"/>
    <s v="USD"/>
    <n v="1336194000"/>
    <n v="1337490000"/>
    <x v="477"/>
    <d v="2012-05-20T00:00: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875"/>
    <x v="1"/>
    <s v="USD"/>
    <n v="1349326800"/>
    <n v="1349672400"/>
    <x v="259"/>
    <d v="2012-10-08T00:00: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4067796610166"/>
    <x v="1"/>
    <s v="USD"/>
    <n v="1379566800"/>
    <n v="1379826000"/>
    <x v="9"/>
    <d v="2013-09-22T00:00: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1937172774866"/>
    <x v="1"/>
    <s v="USD"/>
    <n v="1494651600"/>
    <n v="1497762000"/>
    <x v="808"/>
    <d v="2017-06-18T00:00: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1219512195124"/>
    <x v="1"/>
    <s v="USD"/>
    <n v="1303880400"/>
    <n v="1304485200"/>
    <x v="809"/>
    <d v="2011-05-04T00:00: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0.99898322318251"/>
    <x v="1"/>
    <s v="USD"/>
    <n v="1335934800"/>
    <n v="1336885200"/>
    <x v="444"/>
    <d v="2012-05-13T00:00: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25"/>
    <x v="0"/>
    <s v="CAD"/>
    <n v="1528088400"/>
    <n v="1530421200"/>
    <x v="384"/>
    <d v="2018-07-01T00:00: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7770270270271"/>
    <x v="1"/>
    <s v="USD"/>
    <n v="1421906400"/>
    <n v="1421992800"/>
    <x v="810"/>
    <d v="2015-01-23T00:00: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76190476190474"/>
    <x v="1"/>
    <s v="USD"/>
    <n v="1568005200"/>
    <n v="1568178000"/>
    <x v="811"/>
    <d v="2019-09-11T00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x v="812"/>
    <d v="2012-09-18T00:00: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46462715105156"/>
    <x v="2"/>
    <s v="AUD"/>
    <n v="1557637200"/>
    <n v="1558760400"/>
    <x v="813"/>
    <d v="2019-05-25T00:00:00"/>
    <b v="0"/>
    <b v="0"/>
    <s v="film &amp; video/drama"/>
    <x v="4"/>
    <x v="6"/>
  </r>
  <r>
    <n v="914"/>
    <s v="Ramirez, Padilla and Barrera"/>
    <s v="Diverse client-driven conglomeration"/>
    <n v="6400"/>
    <n v="3676"/>
    <n v="57"/>
    <x v="0"/>
    <n v="141"/>
    <n v="26.070921985815602"/>
    <x v="4"/>
    <s v="GBP"/>
    <n v="1375592400"/>
    <n v="1376629200"/>
    <x v="814"/>
    <d v="2013-08-16T00:00: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.0032154340836"/>
    <x v="4"/>
    <s v="GBP"/>
    <n v="1503982800"/>
    <n v="1504760400"/>
    <x v="80"/>
    <d v="2017-09-07T00:00: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26923076923077"/>
    <x v="1"/>
    <s v="USD"/>
    <n v="1418882400"/>
    <n v="1419660000"/>
    <x v="815"/>
    <d v="2014-12-27T00:00:00"/>
    <b v="0"/>
    <b v="0"/>
    <s v="photography/photography books"/>
    <x v="7"/>
    <x v="14"/>
  </r>
  <r>
    <n v="917"/>
    <s v="Cooper Inc"/>
    <s v="Polarized discrete product"/>
    <n v="3600"/>
    <n v="2097"/>
    <n v="58"/>
    <x v="2"/>
    <n v="27"/>
    <n v="77.666666666666671"/>
    <x v="4"/>
    <s v="GBP"/>
    <n v="1309237200"/>
    <n v="1311310800"/>
    <x v="816"/>
    <d v="2011-07-22T00:00: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2692307692308"/>
    <x v="5"/>
    <s v="CHF"/>
    <n v="1343365200"/>
    <n v="1344315600"/>
    <x v="474"/>
    <d v="2012-08-07T00:00: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55555555555549"/>
    <x v="2"/>
    <s v="AUD"/>
    <n v="1507957200"/>
    <n v="1510725600"/>
    <x v="817"/>
    <d v="2017-11-15T00:00: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45098039215686"/>
    <x v="1"/>
    <s v="USD"/>
    <n v="1549519200"/>
    <n v="1551247200"/>
    <x v="818"/>
    <d v="2019-02-27T00:00: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2105263157894"/>
    <x v="1"/>
    <s v="USD"/>
    <n v="1329026400"/>
    <n v="1330236000"/>
    <x v="819"/>
    <d v="2012-02-26T00:00: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x v="609"/>
    <d v="2018-12-18T00:00: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x v="547"/>
    <d v="2010-07-15T00:00: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06989951944078"/>
    <x v="6"/>
    <s v="EUR"/>
    <n v="1572498000"/>
    <n v="1573452000"/>
    <x v="820"/>
    <d v="2019-11-11T00:00:00"/>
    <b v="0"/>
    <b v="0"/>
    <s v="theater/plays"/>
    <x v="3"/>
    <x v="3"/>
  </r>
  <r>
    <n v="925"/>
    <s v="Wilson, Jefferson and Anderson"/>
    <s v="Profit-focused empowering system engine"/>
    <n v="3000"/>
    <n v="6722"/>
    <n v="224"/>
    <x v="1"/>
    <n v="65"/>
    <n v="103.41538461538461"/>
    <x v="1"/>
    <s v="USD"/>
    <n v="1506056400"/>
    <n v="1507093200"/>
    <x v="821"/>
    <d v="2017-10-04T00:00: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333333333334"/>
    <x v="1"/>
    <s v="USD"/>
    <n v="1463029200"/>
    <n v="1463374800"/>
    <x v="151"/>
    <d v="2016-05-16T00:00: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1621621621621"/>
    <x v="1"/>
    <s v="USD"/>
    <n v="1342069200"/>
    <n v="1344574800"/>
    <x v="822"/>
    <d v="2012-08-10T00:00: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1.995234312946785"/>
    <x v="6"/>
    <s v="EUR"/>
    <n v="1388296800"/>
    <n v="1389074400"/>
    <x v="823"/>
    <d v="2014-01-07T00:00: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6521739130437"/>
    <x v="4"/>
    <s v="GBP"/>
    <n v="1493787600"/>
    <n v="1494997200"/>
    <x v="824"/>
    <d v="2017-05-17T00:00:00"/>
    <b v="0"/>
    <b v="0"/>
    <s v="theater/plays"/>
    <x v="3"/>
    <x v="3"/>
  </r>
  <r>
    <n v="930"/>
    <s v="Hall, Buchanan and Benton"/>
    <s v="Configurable fault-tolerant structure"/>
    <n v="3500"/>
    <n v="3930"/>
    <n v="112"/>
    <x v="1"/>
    <n v="85"/>
    <n v="46.235294117647058"/>
    <x v="1"/>
    <s v="USD"/>
    <n v="1424844000"/>
    <n v="1425448800"/>
    <x v="825"/>
    <d v="2015-03-04T00:00: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1785714285715"/>
    <x v="1"/>
    <s v="USD"/>
    <n v="1403931600"/>
    <n v="1404104400"/>
    <x v="826"/>
    <d v="2014-06-30T00:00: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722222222221"/>
    <x v="1"/>
    <s v="USD"/>
    <n v="1394514000"/>
    <n v="1394773200"/>
    <x v="827"/>
    <d v="2014-03-14T00:00: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16298633017882"/>
    <x v="1"/>
    <s v="USD"/>
    <n v="1365397200"/>
    <n v="1366520400"/>
    <x v="828"/>
    <d v="2013-04-21T00:00: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2857142857143"/>
    <x v="1"/>
    <s v="USD"/>
    <n v="1456120800"/>
    <n v="1456639200"/>
    <x v="829"/>
    <d v="2016-02-28T00:00: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8484848484844"/>
    <x v="1"/>
    <s v="USD"/>
    <n v="1437714000"/>
    <n v="1438318800"/>
    <x v="830"/>
    <d v="2015-07-31T00:00: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76190476190482"/>
    <x v="1"/>
    <s v="USD"/>
    <n v="1563771600"/>
    <n v="1564030800"/>
    <x v="831"/>
    <d v="2019-07-25T00:00: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78483606557376"/>
    <x v="1"/>
    <s v="USD"/>
    <n v="1448517600"/>
    <n v="1449295200"/>
    <x v="832"/>
    <d v="2015-12-05T00:00:00"/>
    <b v="0"/>
    <b v="0"/>
    <s v="film &amp; video/documentary"/>
    <x v="4"/>
    <x v="4"/>
  </r>
  <r>
    <n v="938"/>
    <s v="Allen Inc"/>
    <s v="Total dedicated benchmark"/>
    <n v="9200"/>
    <n v="10093"/>
    <n v="110"/>
    <x v="1"/>
    <n v="96"/>
    <n v="105.13541666666667"/>
    <x v="1"/>
    <s v="USD"/>
    <n v="1528779600"/>
    <n v="1531890000"/>
    <x v="833"/>
    <d v="2018-07-18T00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298507462686565"/>
    <x v="1"/>
    <s v="USD"/>
    <n v="1304744400"/>
    <n v="1306213200"/>
    <x v="834"/>
    <d v="2011-05-24T00:00: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48484848484844"/>
    <x v="0"/>
    <s v="CAD"/>
    <n v="1354341600"/>
    <n v="1356242400"/>
    <x v="835"/>
    <d v="2012-12-23T00:00: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7179487179489"/>
    <x v="1"/>
    <s v="USD"/>
    <n v="1294552800"/>
    <n v="1297576800"/>
    <x v="836"/>
    <d v="2011-02-13T00:00: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1940298507463"/>
    <x v="2"/>
    <s v="AUD"/>
    <n v="1295935200"/>
    <n v="1296194400"/>
    <x v="837"/>
    <d v="2011-01-28T00:00: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122807017544"/>
    <x v="1"/>
    <s v="USD"/>
    <n v="1411534800"/>
    <n v="1414558800"/>
    <x v="219"/>
    <d v="2014-10-29T00:00: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58174904942965"/>
    <x v="2"/>
    <s v="AUD"/>
    <n v="1486706400"/>
    <n v="1488348000"/>
    <x v="365"/>
    <d v="2017-03-01T00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.001182732111175"/>
    <x v="1"/>
    <s v="USD"/>
    <n v="1333602000"/>
    <n v="1334898000"/>
    <x v="838"/>
    <d v="2012-04-20T00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87845303867405"/>
    <x v="1"/>
    <s v="USD"/>
    <n v="1308200400"/>
    <n v="1308373200"/>
    <x v="839"/>
    <d v="2011-06-18T00:00: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307692307692"/>
    <x v="1"/>
    <s v="USD"/>
    <n v="1411707600"/>
    <n v="1412312400"/>
    <x v="840"/>
    <d v="2014-10-03T00:00: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87499999999997"/>
    <x v="1"/>
    <s v="USD"/>
    <n v="1418364000"/>
    <n v="1419228000"/>
    <x v="841"/>
    <d v="2014-12-22T00:00: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896551724137929"/>
    <x v="1"/>
    <s v="USD"/>
    <n v="1429333200"/>
    <n v="1430974800"/>
    <x v="842"/>
    <d v="2015-05-07T00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x v="843"/>
    <d v="2019-04-21T00:00: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437459910199"/>
    <x v="1"/>
    <s v="USD"/>
    <n v="1482732000"/>
    <n v="1482818400"/>
    <x v="844"/>
    <d v="2016-12-27T00:00: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07502206531335"/>
    <x v="1"/>
    <s v="USD"/>
    <n v="1470718800"/>
    <n v="1471928400"/>
    <x v="845"/>
    <d v="2016-08-23T00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x v="846"/>
    <d v="2016-01-25T00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325581395348"/>
    <x v="2"/>
    <s v="AUD"/>
    <n v="1348290000"/>
    <n v="1350363600"/>
    <x v="110"/>
    <d v="2012-10-16T00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x v="847"/>
    <d v="2012-11-27T00:00: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0963855421687"/>
    <x v="1"/>
    <s v="USD"/>
    <n v="1450764000"/>
    <n v="1451109600"/>
    <x v="848"/>
    <d v="2015-12-26T00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16030534351151"/>
    <x v="1"/>
    <s v="USD"/>
    <n v="1329372000"/>
    <n v="1329631200"/>
    <x v="849"/>
    <d v="2012-02-19T00:00: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1785714285708"/>
    <x v="1"/>
    <s v="USD"/>
    <n v="1277096400"/>
    <n v="1278997200"/>
    <x v="780"/>
    <d v="2010-07-13T00:00: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07692307692309"/>
    <x v="1"/>
    <s v="USD"/>
    <n v="1277701200"/>
    <n v="1280120400"/>
    <x v="140"/>
    <d v="2010-07-26T00:00: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4545454545448"/>
    <x v="1"/>
    <s v="USD"/>
    <n v="1454911200"/>
    <n v="1458104400"/>
    <x v="850"/>
    <d v="2016-03-16T00:00: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096774193548"/>
    <x v="1"/>
    <s v="USD"/>
    <n v="1297922400"/>
    <n v="1298268000"/>
    <x v="851"/>
    <d v="2011-02-21T00:00: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3909774436091"/>
    <x v="1"/>
    <s v="USD"/>
    <n v="1384408800"/>
    <n v="1386223200"/>
    <x v="852"/>
    <d v="2013-12-05T00:00: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3333333333336"/>
    <x v="6"/>
    <s v="EUR"/>
    <n v="1299304800"/>
    <n v="1299823200"/>
    <x v="853"/>
    <d v="2011-03-11T00:00: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2903225806451"/>
    <x v="1"/>
    <s v="USD"/>
    <n v="1431320400"/>
    <n v="1431752400"/>
    <x v="854"/>
    <d v="2015-05-16T00:00: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67632850241544"/>
    <x v="4"/>
    <s v="GBP"/>
    <n v="1264399200"/>
    <n v="1267855200"/>
    <x v="67"/>
    <d v="2010-03-06T00:00: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1428571428568"/>
    <x v="1"/>
    <s v="USD"/>
    <n v="1497502800"/>
    <n v="1497675600"/>
    <x v="855"/>
    <d v="2017-06-17T00:00: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807374443743"/>
    <x v="1"/>
    <s v="USD"/>
    <n v="1333688400"/>
    <n v="1336885200"/>
    <x v="107"/>
    <d v="2012-05-13T00:00: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01754385964918"/>
    <x v="1"/>
    <s v="USD"/>
    <n v="1293861600"/>
    <n v="1295157600"/>
    <x v="344"/>
    <d v="2011-01-16T00:00: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35483870967744"/>
    <x v="1"/>
    <s v="USD"/>
    <n v="1576994400"/>
    <n v="1577599200"/>
    <x v="856"/>
    <d v="2019-12-29T00:00: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69023569023571"/>
    <x v="1"/>
    <s v="USD"/>
    <n v="1304917200"/>
    <n v="1305003600"/>
    <x v="857"/>
    <d v="2011-05-10T00:00:00"/>
    <b v="0"/>
    <b v="0"/>
    <s v="theater/plays"/>
    <x v="3"/>
    <x v="3"/>
  </r>
  <r>
    <n v="971"/>
    <s v="Garner and Sons"/>
    <s v="Versatile neutral workforce"/>
    <n v="5100"/>
    <n v="1414"/>
    <n v="28"/>
    <x v="0"/>
    <n v="24"/>
    <n v="58.916666666666664"/>
    <x v="1"/>
    <s v="USD"/>
    <n v="1381208400"/>
    <n v="1381726800"/>
    <x v="858"/>
    <d v="2013-10-14T00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"/>
    <x v="1"/>
    <n v="1681"/>
    <n v="58.015466983938133"/>
    <x v="1"/>
    <s v="USD"/>
    <n v="1401685200"/>
    <n v="1402462800"/>
    <x v="859"/>
    <d v="2014-06-11T00:00: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301587301587"/>
    <x v="1"/>
    <s v="USD"/>
    <n v="1291960800"/>
    <n v="1292133600"/>
    <x v="860"/>
    <d v="2010-12-12T00:00: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6875"/>
    <x v="1"/>
    <s v="USD"/>
    <n v="1368853200"/>
    <n v="1368939600"/>
    <x v="170"/>
    <d v="2013-05-19T00:00: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0370370370368"/>
    <x v="1"/>
    <s v="USD"/>
    <n v="1448776800"/>
    <n v="1452146400"/>
    <x v="861"/>
    <d v="2016-01-07T00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2857142857144"/>
    <x v="1"/>
    <s v="USD"/>
    <n v="1296194400"/>
    <n v="1296712800"/>
    <x v="862"/>
    <d v="2011-02-03T00:00: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68656716417908"/>
    <x v="1"/>
    <s v="USD"/>
    <n v="1517983200"/>
    <n v="1520748000"/>
    <x v="863"/>
    <d v="2018-03-11T00:00: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3913043478265"/>
    <x v="1"/>
    <s v="USD"/>
    <n v="1478930400"/>
    <n v="1480831200"/>
    <x v="864"/>
    <d v="2016-12-04T00:00: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69458128078813"/>
    <x v="4"/>
    <s v="GBP"/>
    <n v="1426395600"/>
    <n v="1426914000"/>
    <x v="527"/>
    <d v="2015-03-21T00:00: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035040431267"/>
    <x v="1"/>
    <s v="USD"/>
    <n v="1446181200"/>
    <n v="1446616800"/>
    <x v="865"/>
    <d v="2015-11-04T00:00: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69040247678016"/>
    <x v="1"/>
    <s v="USD"/>
    <n v="1514181600"/>
    <n v="1517032800"/>
    <x v="866"/>
    <d v="2018-01-27T00:00: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3333333333331"/>
    <x v="1"/>
    <s v="USD"/>
    <n v="1311051600"/>
    <n v="1311224400"/>
    <x v="867"/>
    <d v="2011-07-21T00:00: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0.999140154772135"/>
    <x v="1"/>
    <s v="USD"/>
    <n v="1564894800"/>
    <n v="1566190800"/>
    <x v="868"/>
    <d v="2019-08-19T00:00: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0498687664043"/>
    <x v="1"/>
    <s v="USD"/>
    <n v="1567918800"/>
    <n v="1570165200"/>
    <x v="105"/>
    <d v="2019-10-04T00:00: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5.998410896708286"/>
    <x v="1"/>
    <s v="USD"/>
    <n v="1386309600"/>
    <n v="1388556000"/>
    <x v="481"/>
    <d v="2014-01-01T00:00: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3913043478258"/>
    <x v="1"/>
    <s v="USD"/>
    <n v="1301979600"/>
    <n v="1303189200"/>
    <x v="253"/>
    <d v="2011-04-19T00:00: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.002083333333335"/>
    <x v="1"/>
    <s v="USD"/>
    <n v="1493269200"/>
    <n v="1494478800"/>
    <x v="869"/>
    <d v="2017-05-11T00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46875"/>
    <x v="1"/>
    <s v="USD"/>
    <n v="1478930400"/>
    <n v="1480744800"/>
    <x v="864"/>
    <d v="2016-12-03T00:00: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3097345132741"/>
    <x v="1"/>
    <s v="USD"/>
    <n v="1555390800"/>
    <n v="1555822800"/>
    <x v="843"/>
    <d v="2019-04-21T00:00: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59375"/>
    <x v="1"/>
    <s v="USD"/>
    <n v="1456984800"/>
    <n v="1458882000"/>
    <x v="289"/>
    <d v="2016-03-25T00:00:00"/>
    <b v="0"/>
    <b v="1"/>
    <s v="film &amp; video/drama"/>
    <x v="4"/>
    <x v="6"/>
  </r>
  <r>
    <n v="991"/>
    <s v="Ramirez LLC"/>
    <s v="Reduced reciprocal focus group"/>
    <n v="9800"/>
    <n v="11091"/>
    <n v="113"/>
    <x v="1"/>
    <n v="241"/>
    <n v="46.020746887966808"/>
    <x v="1"/>
    <s v="USD"/>
    <n v="1411621200"/>
    <n v="1411966800"/>
    <x v="870"/>
    <d v="2014-09-29T00:00:00"/>
    <b v="0"/>
    <b v="1"/>
    <s v="music/rock"/>
    <x v="1"/>
    <x v="1"/>
  </r>
  <r>
    <n v="992"/>
    <s v="Morrow Inc"/>
    <s v="Networked global migration"/>
    <n v="3100"/>
    <n v="13223"/>
    <n v="427"/>
    <x v="1"/>
    <n v="132"/>
    <n v="100.17424242424242"/>
    <x v="1"/>
    <s v="USD"/>
    <n v="1525669200"/>
    <n v="1526878800"/>
    <x v="871"/>
    <d v="2018-05-21T00:00: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x v="872"/>
    <d v="2016-01-10T00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2684085510693"/>
    <x v="1"/>
    <s v="USD"/>
    <n v="1413522000"/>
    <n v="1414040400"/>
    <x v="873"/>
    <d v="2014-10-23T00:00: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4.995594713656388"/>
    <x v="1"/>
    <s v="USD"/>
    <n v="1541307600"/>
    <n v="1543816800"/>
    <x v="874"/>
    <d v="2018-12-03T00:00: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2142857142854"/>
    <x v="1"/>
    <s v="USD"/>
    <n v="1357106400"/>
    <n v="1359698400"/>
    <x v="875"/>
    <d v="2013-02-01T00:00: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5107913669064"/>
    <x v="6"/>
    <s v="EUR"/>
    <n v="1390197600"/>
    <n v="1390629600"/>
    <x v="876"/>
    <d v="2014-01-25T00:00:00"/>
    <b v="0"/>
    <b v="0"/>
    <s v="theater/plays"/>
    <x v="3"/>
    <x v="3"/>
  </r>
  <r>
    <n v="998"/>
    <s v="Taylor, Santiago and Flores"/>
    <s v="Polarized composite customer loyalty"/>
    <n v="66600"/>
    <n v="37823"/>
    <n v="57"/>
    <x v="0"/>
    <n v="374"/>
    <n v="101.13101604278074"/>
    <x v="1"/>
    <s v="USD"/>
    <n v="1265868000"/>
    <n v="1267077600"/>
    <x v="877"/>
    <d v="2010-02-25T00:00:00"/>
    <b v="0"/>
    <b v="1"/>
    <s v="music/indie rock"/>
    <x v="1"/>
    <x v="7"/>
  </r>
  <r>
    <n v="999"/>
    <s v="Hernandez, Norton and Kelley"/>
    <s v="Expanded eco-centric policy"/>
    <n v="111100"/>
    <n v="62819"/>
    <n v="57"/>
    <x v="3"/>
    <n v="1122"/>
    <n v="55.98841354723708"/>
    <x v="1"/>
    <s v="USD"/>
    <n v="1467176400"/>
    <n v="1467781200"/>
    <x v="878"/>
    <d v="2016-07-06T00:00:00"/>
    <b v="0"/>
    <b v="0"/>
    <s v="food/food trucks"/>
    <x v="0"/>
    <x v="0"/>
  </r>
  <r>
    <m/>
    <m/>
    <m/>
    <m/>
    <m/>
    <m/>
    <x v="4"/>
    <m/>
    <m/>
    <x v="7"/>
    <m/>
    <m/>
    <m/>
    <x v="879"/>
    <m/>
    <m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B9393-FA69-4BD9-B1A9-731545E57001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14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73A73-A661-4FCA-B712-53000302B677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9929DC-3224-486B-90BC-072F70A2394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F12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Row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/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92FD6-EA78-4835-90ED-FA77C72A442E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h="1" sd="0" x="0"/>
        <item n="Jan" sd="0" x="1"/>
        <item n="Feb" sd="0" x="2"/>
        <item n="Mar" sd="0" x="3"/>
        <item n="Apr" sd="0" x="4"/>
        <item n="May" sd="0" x="5"/>
        <item n="Jun" sd="0" x="6"/>
        <item n="Jul" sd="0" x="7"/>
        <item n="Aug" sd="0" x="8"/>
        <item n="Sep" sd="0" x="9"/>
        <item n="Oct" sd="0" x="10"/>
        <item n="Nov" sd="0" x="11"/>
        <item n="Dec" sd="0" x="12"/>
        <item h="1" sd="0"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name="Years " axis="axisPage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3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E53A50-2989-4F1A-A1D6-C220BD9D59D2}" name="Table52" displayName="Table52" ref="H3:J9" totalsRowShown="0">
  <tableColumns count="3">
    <tableColumn id="1" xr3:uid="{9D0CE0B3-9943-4DD6-A252-C7707704E1D0}" name="statistic vales"/>
    <tableColumn id="2" xr3:uid="{62421483-8EF9-47CD-AC82-225B5410B7BE}" name="successful campaigns" dataDxfId="1"/>
    <tableColumn id="3" xr3:uid="{1E596290-5485-439E-A148-1F1C46637778}" name="unsuccessful campaig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G1" workbookViewId="0">
      <selection activeCell="R11" sqref="R11"/>
    </sheetView>
  </sheetViews>
  <sheetFormatPr defaultColWidth="11.5" defaultRowHeight="15.75"/>
  <cols>
    <col min="1" max="1" width="7.875" customWidth="1"/>
    <col min="2" max="2" width="30.625" bestFit="1" customWidth="1"/>
    <col min="3" max="3" width="33.5" style="3" customWidth="1"/>
    <col min="6" max="6" width="14.25" customWidth="1"/>
    <col min="7" max="7" width="13.125" customWidth="1"/>
    <col min="8" max="8" width="17.625" customWidth="1"/>
    <col min="9" max="9" width="20" customWidth="1"/>
    <col min="12" max="12" width="13.875" customWidth="1"/>
    <col min="13" max="13" width="12.5" customWidth="1"/>
    <col min="14" max="14" width="20.875" style="5" customWidth="1"/>
    <col min="15" max="15" width="21.625" style="5" customWidth="1"/>
    <col min="18" max="18" width="28" bestFit="1" customWidth="1"/>
    <col min="19" max="20" width="17.5" customWidth="1"/>
  </cols>
  <sheetData>
    <row r="1" spans="1:20" s="1" customFormat="1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5</v>
      </c>
      <c r="I1" s="1" t="s">
        <v>2033</v>
      </c>
      <c r="J1" s="1" t="s">
        <v>6</v>
      </c>
      <c r="K1" s="1" t="s">
        <v>7</v>
      </c>
      <c r="L1" s="1" t="s">
        <v>8</v>
      </c>
      <c r="M1" s="1" t="s">
        <v>9</v>
      </c>
      <c r="N1" s="11" t="s">
        <v>2031</v>
      </c>
      <c r="O1" s="1" t="s">
        <v>2032</v>
      </c>
      <c r="P1" s="1" t="s">
        <v>10</v>
      </c>
      <c r="Q1" s="1" t="s">
        <v>11</v>
      </c>
      <c r="R1" s="1" t="s">
        <v>2028</v>
      </c>
      <c r="S1" s="1" t="s">
        <v>2067</v>
      </c>
      <c r="T1" s="1" t="s">
        <v>2068</v>
      </c>
    </row>
    <row r="2" spans="1:20">
      <c r="A2">
        <v>0</v>
      </c>
      <c r="B2" t="s">
        <v>12</v>
      </c>
      <c r="C2" s="3" t="s">
        <v>13</v>
      </c>
      <c r="D2">
        <v>100</v>
      </c>
      <c r="E2">
        <v>0</v>
      </c>
      <c r="F2">
        <f>E2/D2*100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5">
        <v>42336.25</v>
      </c>
      <c r="O2" s="5">
        <v>42353.25</v>
      </c>
      <c r="P2" t="b">
        <v>0</v>
      </c>
      <c r="Q2" t="b">
        <v>0</v>
      </c>
      <c r="R2" t="s">
        <v>17</v>
      </c>
      <c r="S2" t="s">
        <v>2034</v>
      </c>
      <c r="T2" t="s">
        <v>2035</v>
      </c>
    </row>
    <row r="3" spans="1:20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>ROUND(E3/D3*100,0)</f>
        <v>1040</v>
      </c>
      <c r="G3" t="s">
        <v>20</v>
      </c>
      <c r="H3">
        <v>158</v>
      </c>
      <c r="I3" s="6">
        <v>92.151898734177209</v>
      </c>
      <c r="J3" t="s">
        <v>21</v>
      </c>
      <c r="K3" t="s">
        <v>22</v>
      </c>
      <c r="L3">
        <v>1408424400</v>
      </c>
      <c r="M3">
        <v>1408597200</v>
      </c>
      <c r="N3" s="5">
        <v>41870.208333333336</v>
      </c>
      <c r="O3" s="5">
        <v>41872.208333333336</v>
      </c>
      <c r="P3" t="b">
        <v>0</v>
      </c>
      <c r="Q3" t="b">
        <v>1</v>
      </c>
      <c r="R3" t="s">
        <v>23</v>
      </c>
      <c r="S3" t="s">
        <v>2036</v>
      </c>
      <c r="T3" t="s">
        <v>2037</v>
      </c>
    </row>
    <row r="4" spans="1:20" ht="31.5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ref="F4:F67" si="0">ROUND(E4/D4*100,0)</f>
        <v>131</v>
      </c>
      <c r="G4" t="s">
        <v>20</v>
      </c>
      <c r="H4">
        <v>1425</v>
      </c>
      <c r="I4" s="6">
        <v>100.01614035087719</v>
      </c>
      <c r="J4" t="s">
        <v>26</v>
      </c>
      <c r="K4" t="s">
        <v>27</v>
      </c>
      <c r="L4">
        <v>1384668000</v>
      </c>
      <c r="M4">
        <v>1384840800</v>
      </c>
      <c r="N4" s="5">
        <v>41595.25</v>
      </c>
      <c r="O4" s="5">
        <v>41597.25</v>
      </c>
      <c r="P4" t="b">
        <v>0</v>
      </c>
      <c r="Q4" t="b">
        <v>0</v>
      </c>
      <c r="R4" t="s">
        <v>28</v>
      </c>
      <c r="S4" t="s">
        <v>2038</v>
      </c>
      <c r="T4" t="s">
        <v>2039</v>
      </c>
    </row>
    <row r="5" spans="1:20" ht="31.5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59</v>
      </c>
      <c r="G5" t="s">
        <v>14</v>
      </c>
      <c r="H5">
        <v>24</v>
      </c>
      <c r="I5" s="6">
        <v>103.20833333333333</v>
      </c>
      <c r="J5" t="s">
        <v>21</v>
      </c>
      <c r="K5" t="s">
        <v>22</v>
      </c>
      <c r="L5">
        <v>1565499600</v>
      </c>
      <c r="M5">
        <v>1568955600</v>
      </c>
      <c r="N5" s="5">
        <v>43688.208333333336</v>
      </c>
      <c r="O5" s="5">
        <v>43728.208333333336</v>
      </c>
      <c r="P5" t="b">
        <v>0</v>
      </c>
      <c r="Q5" t="b">
        <v>0</v>
      </c>
      <c r="R5" t="s">
        <v>23</v>
      </c>
      <c r="S5" t="s">
        <v>2036</v>
      </c>
      <c r="T5" t="s">
        <v>2037</v>
      </c>
    </row>
    <row r="6" spans="1:20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</v>
      </c>
      <c r="G6" t="s">
        <v>14</v>
      </c>
      <c r="H6">
        <v>53</v>
      </c>
      <c r="I6" s="6">
        <v>99.339622641509436</v>
      </c>
      <c r="J6" t="s">
        <v>21</v>
      </c>
      <c r="K6" t="s">
        <v>22</v>
      </c>
      <c r="L6">
        <v>1547964000</v>
      </c>
      <c r="M6">
        <v>1548309600</v>
      </c>
      <c r="N6" s="5">
        <v>43485.25</v>
      </c>
      <c r="O6" s="5">
        <v>43489.25</v>
      </c>
      <c r="P6" t="b">
        <v>0</v>
      </c>
      <c r="Q6" t="b">
        <v>0</v>
      </c>
      <c r="R6" t="s">
        <v>33</v>
      </c>
      <c r="S6" t="s">
        <v>2040</v>
      </c>
      <c r="T6" t="s">
        <v>2041</v>
      </c>
    </row>
    <row r="7" spans="1:20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174</v>
      </c>
      <c r="G7" t="s">
        <v>20</v>
      </c>
      <c r="H7">
        <v>174</v>
      </c>
      <c r="I7" s="6">
        <v>75.833333333333329</v>
      </c>
      <c r="J7" t="s">
        <v>36</v>
      </c>
      <c r="K7" t="s">
        <v>37</v>
      </c>
      <c r="L7">
        <v>1346130000</v>
      </c>
      <c r="M7">
        <v>1347080400</v>
      </c>
      <c r="N7" s="5">
        <v>41149.208333333336</v>
      </c>
      <c r="O7" s="5">
        <v>41160.208333333336</v>
      </c>
      <c r="P7" t="b">
        <v>0</v>
      </c>
      <c r="Q7" t="b">
        <v>0</v>
      </c>
      <c r="R7" t="s">
        <v>33</v>
      </c>
      <c r="S7" t="s">
        <v>2040</v>
      </c>
      <c r="T7" t="s">
        <v>2041</v>
      </c>
    </row>
    <row r="8" spans="1:20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21</v>
      </c>
      <c r="G8" t="s">
        <v>14</v>
      </c>
      <c r="H8">
        <v>18</v>
      </c>
      <c r="I8" s="6">
        <v>60.555555555555557</v>
      </c>
      <c r="J8" t="s">
        <v>40</v>
      </c>
      <c r="K8" t="s">
        <v>41</v>
      </c>
      <c r="L8">
        <v>1505278800</v>
      </c>
      <c r="M8">
        <v>1505365200</v>
      </c>
      <c r="N8" s="5">
        <v>42991.208333333336</v>
      </c>
      <c r="O8" s="5">
        <v>42992.208333333336</v>
      </c>
      <c r="P8" t="b">
        <v>0</v>
      </c>
      <c r="Q8" t="b">
        <v>0</v>
      </c>
      <c r="R8" t="s">
        <v>42</v>
      </c>
      <c r="S8" t="s">
        <v>2042</v>
      </c>
      <c r="T8" t="s">
        <v>2043</v>
      </c>
    </row>
    <row r="9" spans="1:20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328</v>
      </c>
      <c r="G9" t="s">
        <v>20</v>
      </c>
      <c r="H9">
        <v>227</v>
      </c>
      <c r="I9" s="6">
        <v>64.93832599118943</v>
      </c>
      <c r="J9" t="s">
        <v>36</v>
      </c>
      <c r="K9" t="s">
        <v>37</v>
      </c>
      <c r="L9">
        <v>1439442000</v>
      </c>
      <c r="M9">
        <v>1439614800</v>
      </c>
      <c r="N9" s="5">
        <v>42229.208333333336</v>
      </c>
      <c r="O9" s="5">
        <v>42231.208333333336</v>
      </c>
      <c r="P9" t="b">
        <v>0</v>
      </c>
      <c r="Q9" t="b">
        <v>0</v>
      </c>
      <c r="R9" t="s">
        <v>33</v>
      </c>
      <c r="S9" t="s">
        <v>2040</v>
      </c>
      <c r="T9" t="s">
        <v>2041</v>
      </c>
    </row>
    <row r="10" spans="1:20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20</v>
      </c>
      <c r="G10" t="s">
        <v>47</v>
      </c>
      <c r="H10">
        <v>708</v>
      </c>
      <c r="I10" s="6"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5">
        <v>40399.208333333336</v>
      </c>
      <c r="O10" s="5">
        <v>40401.208333333336</v>
      </c>
      <c r="P10" t="b">
        <v>0</v>
      </c>
      <c r="Q10" t="b">
        <v>0</v>
      </c>
      <c r="R10" t="s">
        <v>33</v>
      </c>
      <c r="S10" t="s">
        <v>2040</v>
      </c>
      <c r="T10" t="s">
        <v>2041</v>
      </c>
    </row>
    <row r="11" spans="1:20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52</v>
      </c>
      <c r="G11" t="s">
        <v>14</v>
      </c>
      <c r="H11">
        <v>44</v>
      </c>
      <c r="I11" s="6"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5">
        <v>41536.208333333336</v>
      </c>
      <c r="O11" s="5">
        <v>41585.25</v>
      </c>
      <c r="P11" t="b">
        <v>0</v>
      </c>
      <c r="Q11" t="b">
        <v>0</v>
      </c>
      <c r="R11" t="s">
        <v>50</v>
      </c>
      <c r="S11" t="s">
        <v>2036</v>
      </c>
      <c r="T11" t="s">
        <v>2044</v>
      </c>
    </row>
    <row r="12" spans="1:20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</v>
      </c>
      <c r="G12" t="s">
        <v>20</v>
      </c>
      <c r="H12">
        <v>220</v>
      </c>
      <c r="I12" s="6">
        <v>62.9</v>
      </c>
      <c r="J12" t="s">
        <v>21</v>
      </c>
      <c r="K12" t="s">
        <v>22</v>
      </c>
      <c r="L12">
        <v>1281762000</v>
      </c>
      <c r="M12">
        <v>1285909200</v>
      </c>
      <c r="N12" s="5">
        <v>40404.208333333336</v>
      </c>
      <c r="O12" s="5">
        <v>40452.208333333336</v>
      </c>
      <c r="P12" t="b">
        <v>0</v>
      </c>
      <c r="Q12" t="b">
        <v>0</v>
      </c>
      <c r="R12" t="s">
        <v>53</v>
      </c>
      <c r="S12" t="s">
        <v>2042</v>
      </c>
      <c r="T12" t="s">
        <v>2045</v>
      </c>
    </row>
    <row r="13" spans="1:20" ht="31.5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</v>
      </c>
      <c r="G13" t="s">
        <v>14</v>
      </c>
      <c r="H13">
        <v>27</v>
      </c>
      <c r="I13" s="6"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5">
        <v>40442.208333333336</v>
      </c>
      <c r="O13" s="5">
        <v>40448.208333333336</v>
      </c>
      <c r="P13" t="b">
        <v>0</v>
      </c>
      <c r="Q13" t="b">
        <v>1</v>
      </c>
      <c r="R13" t="s">
        <v>33</v>
      </c>
      <c r="S13" t="s">
        <v>2040</v>
      </c>
      <c r="T13" t="s">
        <v>2041</v>
      </c>
    </row>
    <row r="14" spans="1:20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</v>
      </c>
      <c r="G14" t="s">
        <v>14</v>
      </c>
      <c r="H14">
        <v>55</v>
      </c>
      <c r="I14" s="6"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5">
        <v>43760.208333333336</v>
      </c>
      <c r="O14" s="5">
        <v>43768.208333333336</v>
      </c>
      <c r="P14" t="b">
        <v>0</v>
      </c>
      <c r="Q14" t="b">
        <v>0</v>
      </c>
      <c r="R14" t="s">
        <v>53</v>
      </c>
      <c r="S14" t="s">
        <v>2042</v>
      </c>
      <c r="T14" t="s">
        <v>2045</v>
      </c>
    </row>
    <row r="15" spans="1:20" ht="31.5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</v>
      </c>
      <c r="G15" t="s">
        <v>20</v>
      </c>
      <c r="H15">
        <v>98</v>
      </c>
      <c r="I15" s="6"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5">
        <v>42532.208333333336</v>
      </c>
      <c r="O15" s="5">
        <v>42544.208333333336</v>
      </c>
      <c r="P15" t="b">
        <v>0</v>
      </c>
      <c r="Q15" t="b">
        <v>0</v>
      </c>
      <c r="R15" t="s">
        <v>60</v>
      </c>
      <c r="S15" t="s">
        <v>2036</v>
      </c>
      <c r="T15" t="s">
        <v>2046</v>
      </c>
    </row>
    <row r="16" spans="1:20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67</v>
      </c>
      <c r="G16" t="s">
        <v>14</v>
      </c>
      <c r="H16">
        <v>200</v>
      </c>
      <c r="I16" s="6"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5">
        <v>40974.25</v>
      </c>
      <c r="O16" s="5">
        <v>41001.208333333336</v>
      </c>
      <c r="P16" t="b">
        <v>0</v>
      </c>
      <c r="Q16" t="b">
        <v>0</v>
      </c>
      <c r="R16" t="s">
        <v>60</v>
      </c>
      <c r="S16" t="s">
        <v>2036</v>
      </c>
      <c r="T16" t="s">
        <v>2046</v>
      </c>
    </row>
    <row r="17" spans="1:20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</v>
      </c>
      <c r="G17" t="s">
        <v>14</v>
      </c>
      <c r="H17">
        <v>452</v>
      </c>
      <c r="I17" s="6"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5">
        <v>43809.25</v>
      </c>
      <c r="O17" s="5">
        <v>43813.25</v>
      </c>
      <c r="P17" t="b">
        <v>0</v>
      </c>
      <c r="Q17" t="b">
        <v>0</v>
      </c>
      <c r="R17" t="s">
        <v>65</v>
      </c>
      <c r="S17" t="s">
        <v>2038</v>
      </c>
      <c r="T17" t="s">
        <v>2047</v>
      </c>
    </row>
    <row r="18" spans="1:20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</v>
      </c>
      <c r="G18" t="s">
        <v>20</v>
      </c>
      <c r="H18">
        <v>100</v>
      </c>
      <c r="I18" s="6">
        <v>110.41</v>
      </c>
      <c r="J18" t="s">
        <v>21</v>
      </c>
      <c r="K18" t="s">
        <v>22</v>
      </c>
      <c r="L18">
        <v>1390370400</v>
      </c>
      <c r="M18">
        <v>1392271200</v>
      </c>
      <c r="N18" s="5">
        <v>41661.25</v>
      </c>
      <c r="O18" s="5">
        <v>41683.25</v>
      </c>
      <c r="P18" t="b">
        <v>0</v>
      </c>
      <c r="Q18" t="b">
        <v>0</v>
      </c>
      <c r="R18" t="s">
        <v>68</v>
      </c>
      <c r="S18" t="s">
        <v>2048</v>
      </c>
      <c r="T18" t="s">
        <v>2049</v>
      </c>
    </row>
    <row r="19" spans="1:20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</v>
      </c>
      <c r="G19" t="s">
        <v>20</v>
      </c>
      <c r="H19">
        <v>1249</v>
      </c>
      <c r="I19" s="6"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5">
        <v>40555.25</v>
      </c>
      <c r="O19" s="5">
        <v>40556.25</v>
      </c>
      <c r="P19" t="b">
        <v>0</v>
      </c>
      <c r="Q19" t="b">
        <v>0</v>
      </c>
      <c r="R19" t="s">
        <v>71</v>
      </c>
      <c r="S19" t="s">
        <v>2042</v>
      </c>
      <c r="T19" t="s">
        <v>2050</v>
      </c>
    </row>
    <row r="20" spans="1:20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67</v>
      </c>
      <c r="G20" t="s">
        <v>2030</v>
      </c>
      <c r="H20">
        <v>135</v>
      </c>
      <c r="I20" s="6"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5">
        <v>43351.208333333336</v>
      </c>
      <c r="O20" s="5">
        <v>43359.208333333336</v>
      </c>
      <c r="P20" t="b">
        <v>0</v>
      </c>
      <c r="Q20" t="b">
        <v>0</v>
      </c>
      <c r="R20" t="s">
        <v>33</v>
      </c>
      <c r="S20" t="s">
        <v>2040</v>
      </c>
      <c r="T20" t="s">
        <v>2041</v>
      </c>
    </row>
    <row r="21" spans="1:20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49</v>
      </c>
      <c r="G21" t="s">
        <v>14</v>
      </c>
      <c r="H21">
        <v>674</v>
      </c>
      <c r="I21" s="6"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5">
        <v>43528.25</v>
      </c>
      <c r="O21" s="5">
        <v>43549.208333333336</v>
      </c>
      <c r="P21" t="b">
        <v>0</v>
      </c>
      <c r="Q21" t="b">
        <v>1</v>
      </c>
      <c r="R21" t="s">
        <v>33</v>
      </c>
      <c r="S21" t="s">
        <v>2040</v>
      </c>
      <c r="T21" t="s">
        <v>2041</v>
      </c>
    </row>
    <row r="22" spans="1:20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</v>
      </c>
      <c r="G22" t="s">
        <v>20</v>
      </c>
      <c r="H22">
        <v>1396</v>
      </c>
      <c r="I22" s="6"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5">
        <v>41848.208333333336</v>
      </c>
      <c r="O22" s="5">
        <v>41848.208333333336</v>
      </c>
      <c r="P22" t="b">
        <v>0</v>
      </c>
      <c r="Q22" t="b">
        <v>0</v>
      </c>
      <c r="R22" t="s">
        <v>53</v>
      </c>
      <c r="S22" t="s">
        <v>2042</v>
      </c>
      <c r="T22" t="s">
        <v>2045</v>
      </c>
    </row>
    <row r="23" spans="1:20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41</v>
      </c>
      <c r="G23" t="s">
        <v>14</v>
      </c>
      <c r="H23">
        <v>558</v>
      </c>
      <c r="I23" s="6"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5">
        <v>40770.208333333336</v>
      </c>
      <c r="O23" s="5">
        <v>40804.208333333336</v>
      </c>
      <c r="P23" t="b">
        <v>0</v>
      </c>
      <c r="Q23" t="b">
        <v>0</v>
      </c>
      <c r="R23" t="s">
        <v>33</v>
      </c>
      <c r="S23" t="s">
        <v>2040</v>
      </c>
      <c r="T23" t="s">
        <v>2041</v>
      </c>
    </row>
    <row r="24" spans="1:20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</v>
      </c>
      <c r="G24" t="s">
        <v>20</v>
      </c>
      <c r="H24">
        <v>890</v>
      </c>
      <c r="I24" s="6"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5">
        <v>43193.208333333336</v>
      </c>
      <c r="O24" s="5">
        <v>43208.208333333336</v>
      </c>
      <c r="P24" t="b">
        <v>0</v>
      </c>
      <c r="Q24" t="b">
        <v>0</v>
      </c>
      <c r="R24" t="s">
        <v>33</v>
      </c>
      <c r="S24" t="s">
        <v>2040</v>
      </c>
      <c r="T24" t="s">
        <v>2041</v>
      </c>
    </row>
    <row r="25" spans="1:20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</v>
      </c>
      <c r="G25" t="s">
        <v>20</v>
      </c>
      <c r="H25">
        <v>142</v>
      </c>
      <c r="I25" s="6"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5">
        <v>43510.25</v>
      </c>
      <c r="O25" s="5">
        <v>43563.208333333336</v>
      </c>
      <c r="P25" t="b">
        <v>0</v>
      </c>
      <c r="Q25" t="b">
        <v>0</v>
      </c>
      <c r="R25" t="s">
        <v>42</v>
      </c>
      <c r="S25" t="s">
        <v>2042</v>
      </c>
      <c r="T25" t="s">
        <v>2043</v>
      </c>
    </row>
    <row r="26" spans="1:20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113</v>
      </c>
      <c r="G26" t="s">
        <v>20</v>
      </c>
      <c r="H26">
        <v>2673</v>
      </c>
      <c r="I26" s="6"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5">
        <v>41811.208333333336</v>
      </c>
      <c r="O26" s="5">
        <v>41813.208333333336</v>
      </c>
      <c r="P26" t="b">
        <v>0</v>
      </c>
      <c r="Q26" t="b">
        <v>0</v>
      </c>
      <c r="R26" t="s">
        <v>65</v>
      </c>
      <c r="S26" t="s">
        <v>2038</v>
      </c>
      <c r="T26" t="s">
        <v>2047</v>
      </c>
    </row>
    <row r="27" spans="1:20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</v>
      </c>
      <c r="G27" t="s">
        <v>20</v>
      </c>
      <c r="H27">
        <v>163</v>
      </c>
      <c r="I27" s="6"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5">
        <v>40681.208333333336</v>
      </c>
      <c r="O27" s="5">
        <v>40701.208333333336</v>
      </c>
      <c r="P27" t="b">
        <v>0</v>
      </c>
      <c r="Q27" t="b">
        <v>1</v>
      </c>
      <c r="R27" t="s">
        <v>89</v>
      </c>
      <c r="S27" t="s">
        <v>2051</v>
      </c>
      <c r="T27" t="s">
        <v>2052</v>
      </c>
    </row>
    <row r="28" spans="1:20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</v>
      </c>
      <c r="G28" t="s">
        <v>74</v>
      </c>
      <c r="H28">
        <v>1480</v>
      </c>
      <c r="I28" s="6"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5">
        <v>43312.208333333336</v>
      </c>
      <c r="O28" s="5">
        <v>43339.208333333336</v>
      </c>
      <c r="P28" t="b">
        <v>0</v>
      </c>
      <c r="Q28" t="b">
        <v>0</v>
      </c>
      <c r="R28" t="s">
        <v>33</v>
      </c>
      <c r="S28" t="s">
        <v>2040</v>
      </c>
      <c r="T28" t="s">
        <v>2041</v>
      </c>
    </row>
    <row r="29" spans="1:20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80</v>
      </c>
      <c r="G29" t="s">
        <v>14</v>
      </c>
      <c r="H29">
        <v>15</v>
      </c>
      <c r="I29" s="6">
        <v>106.6</v>
      </c>
      <c r="J29" t="s">
        <v>21</v>
      </c>
      <c r="K29" t="s">
        <v>22</v>
      </c>
      <c r="L29">
        <v>1443848400</v>
      </c>
      <c r="M29">
        <v>1444539600</v>
      </c>
      <c r="N29" s="5">
        <v>42280.208333333336</v>
      </c>
      <c r="O29" s="5">
        <v>42288.208333333336</v>
      </c>
      <c r="P29" t="b">
        <v>0</v>
      </c>
      <c r="Q29" t="b">
        <v>0</v>
      </c>
      <c r="R29" t="s">
        <v>23</v>
      </c>
      <c r="S29" t="s">
        <v>2036</v>
      </c>
      <c r="T29" t="s">
        <v>2037</v>
      </c>
    </row>
    <row r="30" spans="1:20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</v>
      </c>
      <c r="G30" t="s">
        <v>20</v>
      </c>
      <c r="H30">
        <v>2220</v>
      </c>
      <c r="I30" s="6"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5">
        <v>40218.25</v>
      </c>
      <c r="O30" s="5">
        <v>40241.25</v>
      </c>
      <c r="P30" t="b">
        <v>0</v>
      </c>
      <c r="Q30" t="b">
        <v>1</v>
      </c>
      <c r="R30" t="s">
        <v>33</v>
      </c>
      <c r="S30" t="s">
        <v>2040</v>
      </c>
      <c r="T30" t="s">
        <v>2041</v>
      </c>
    </row>
    <row r="31" spans="1:20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329</v>
      </c>
      <c r="G31" t="s">
        <v>20</v>
      </c>
      <c r="H31">
        <v>1606</v>
      </c>
      <c r="I31" s="6"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5">
        <v>43301.208333333336</v>
      </c>
      <c r="O31" s="5">
        <v>43341.208333333336</v>
      </c>
      <c r="P31" t="b">
        <v>0</v>
      </c>
      <c r="Q31" t="b">
        <v>0</v>
      </c>
      <c r="R31" t="s">
        <v>100</v>
      </c>
      <c r="S31" t="s">
        <v>2042</v>
      </c>
      <c r="T31" t="s">
        <v>2053</v>
      </c>
    </row>
    <row r="32" spans="1:20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161</v>
      </c>
      <c r="G32" t="s">
        <v>20</v>
      </c>
      <c r="H32">
        <v>129</v>
      </c>
      <c r="I32" s="6"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5">
        <v>43609.208333333336</v>
      </c>
      <c r="O32" s="5">
        <v>43614.208333333336</v>
      </c>
      <c r="P32" t="b">
        <v>0</v>
      </c>
      <c r="Q32" t="b">
        <v>0</v>
      </c>
      <c r="R32" t="s">
        <v>71</v>
      </c>
      <c r="S32" t="s">
        <v>2042</v>
      </c>
      <c r="T32" t="s">
        <v>2050</v>
      </c>
    </row>
    <row r="33" spans="1:20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t="s">
        <v>20</v>
      </c>
      <c r="H33">
        <v>226</v>
      </c>
      <c r="I33" s="6"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5">
        <v>42374.25</v>
      </c>
      <c r="O33" s="5">
        <v>42402.25</v>
      </c>
      <c r="P33" t="b">
        <v>0</v>
      </c>
      <c r="Q33" t="b">
        <v>0</v>
      </c>
      <c r="R33" t="s">
        <v>89</v>
      </c>
      <c r="S33" t="s">
        <v>2051</v>
      </c>
      <c r="T33" t="s">
        <v>2052</v>
      </c>
    </row>
    <row r="34" spans="1:20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87</v>
      </c>
      <c r="G34" t="s">
        <v>14</v>
      </c>
      <c r="H34">
        <v>2307</v>
      </c>
      <c r="I34" s="6"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5">
        <v>43110.25</v>
      </c>
      <c r="O34" s="5">
        <v>43137.25</v>
      </c>
      <c r="P34" t="b">
        <v>0</v>
      </c>
      <c r="Q34" t="b">
        <v>0</v>
      </c>
      <c r="R34" t="s">
        <v>42</v>
      </c>
      <c r="S34" t="s">
        <v>2042</v>
      </c>
      <c r="T34" t="s">
        <v>2043</v>
      </c>
    </row>
    <row r="35" spans="1:20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378</v>
      </c>
      <c r="G35" t="s">
        <v>20</v>
      </c>
      <c r="H35">
        <v>5419</v>
      </c>
      <c r="I35" s="6"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5">
        <v>41917.208333333336</v>
      </c>
      <c r="O35" s="5">
        <v>41954.25</v>
      </c>
      <c r="P35" t="b">
        <v>0</v>
      </c>
      <c r="Q35" t="b">
        <v>0</v>
      </c>
      <c r="R35" t="s">
        <v>33</v>
      </c>
      <c r="S35" t="s">
        <v>2040</v>
      </c>
      <c r="T35" t="s">
        <v>2041</v>
      </c>
    </row>
    <row r="36" spans="1:20" ht="31.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151</v>
      </c>
      <c r="G36" t="s">
        <v>20</v>
      </c>
      <c r="H36">
        <v>165</v>
      </c>
      <c r="I36" s="6">
        <v>85</v>
      </c>
      <c r="J36" t="s">
        <v>21</v>
      </c>
      <c r="K36" t="s">
        <v>22</v>
      </c>
      <c r="L36">
        <v>1490245200</v>
      </c>
      <c r="M36">
        <v>1490677200</v>
      </c>
      <c r="N36" s="5">
        <v>42817.208333333336</v>
      </c>
      <c r="O36" s="5">
        <v>42822.208333333336</v>
      </c>
      <c r="P36" t="b">
        <v>0</v>
      </c>
      <c r="Q36" t="b">
        <v>0</v>
      </c>
      <c r="R36" t="s">
        <v>42</v>
      </c>
      <c r="S36" t="s">
        <v>2042</v>
      </c>
      <c r="T36" t="s">
        <v>2043</v>
      </c>
    </row>
    <row r="37" spans="1:20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</v>
      </c>
      <c r="G37" t="s">
        <v>20</v>
      </c>
      <c r="H37">
        <v>1965</v>
      </c>
      <c r="I37" s="6"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5">
        <v>43484.25</v>
      </c>
      <c r="O37" s="5">
        <v>43526.25</v>
      </c>
      <c r="P37" t="b">
        <v>0</v>
      </c>
      <c r="Q37" t="b">
        <v>1</v>
      </c>
      <c r="R37" t="s">
        <v>53</v>
      </c>
      <c r="S37" t="s">
        <v>2042</v>
      </c>
      <c r="T37" t="s">
        <v>2045</v>
      </c>
    </row>
    <row r="38" spans="1:20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</v>
      </c>
      <c r="G38" t="s">
        <v>20</v>
      </c>
      <c r="H38">
        <v>16</v>
      </c>
      <c r="I38" s="6">
        <v>68.8125</v>
      </c>
      <c r="J38" t="s">
        <v>21</v>
      </c>
      <c r="K38" t="s">
        <v>22</v>
      </c>
      <c r="L38">
        <v>1298700000</v>
      </c>
      <c r="M38">
        <v>1300856400</v>
      </c>
      <c r="N38" s="5">
        <v>40600.25</v>
      </c>
      <c r="O38" s="5">
        <v>40625.208333333336</v>
      </c>
      <c r="P38" t="b">
        <v>0</v>
      </c>
      <c r="Q38" t="b">
        <v>0</v>
      </c>
      <c r="R38" t="s">
        <v>33</v>
      </c>
      <c r="S38" t="s">
        <v>2040</v>
      </c>
      <c r="T38" t="s">
        <v>2041</v>
      </c>
    </row>
    <row r="39" spans="1:20" ht="31.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140</v>
      </c>
      <c r="G39" t="s">
        <v>20</v>
      </c>
      <c r="H39">
        <v>107</v>
      </c>
      <c r="I39" s="6"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5">
        <v>43744.208333333336</v>
      </c>
      <c r="O39" s="5">
        <v>43777.25</v>
      </c>
      <c r="P39" t="b">
        <v>0</v>
      </c>
      <c r="Q39" t="b">
        <v>1</v>
      </c>
      <c r="R39" t="s">
        <v>119</v>
      </c>
      <c r="S39" t="s">
        <v>2048</v>
      </c>
      <c r="T39" t="s">
        <v>2054</v>
      </c>
    </row>
    <row r="40" spans="1:20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</v>
      </c>
      <c r="G40" t="s">
        <v>20</v>
      </c>
      <c r="H40">
        <v>134</v>
      </c>
      <c r="I40" s="6"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5">
        <v>40469.208333333336</v>
      </c>
      <c r="O40" s="5">
        <v>40474.208333333336</v>
      </c>
      <c r="P40" t="b">
        <v>0</v>
      </c>
      <c r="Q40" t="b">
        <v>0</v>
      </c>
      <c r="R40" t="s">
        <v>122</v>
      </c>
      <c r="S40" t="s">
        <v>2055</v>
      </c>
      <c r="T40" t="s">
        <v>2056</v>
      </c>
    </row>
    <row r="41" spans="1:20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51</v>
      </c>
      <c r="G41" t="s">
        <v>14</v>
      </c>
      <c r="H41">
        <v>88</v>
      </c>
      <c r="I41" s="6">
        <v>57.125</v>
      </c>
      <c r="J41" t="s">
        <v>36</v>
      </c>
      <c r="K41" t="s">
        <v>37</v>
      </c>
      <c r="L41">
        <v>1361772000</v>
      </c>
      <c r="M41">
        <v>1362978000</v>
      </c>
      <c r="N41" s="5">
        <v>41330.25</v>
      </c>
      <c r="O41" s="5">
        <v>41344.208333333336</v>
      </c>
      <c r="P41" t="b">
        <v>0</v>
      </c>
      <c r="Q41" t="b">
        <v>0</v>
      </c>
      <c r="R41" t="s">
        <v>33</v>
      </c>
      <c r="S41" t="s">
        <v>2040</v>
      </c>
      <c r="T41" t="s">
        <v>2041</v>
      </c>
    </row>
    <row r="42" spans="1:20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</v>
      </c>
      <c r="G42" t="s">
        <v>20</v>
      </c>
      <c r="H42">
        <v>198</v>
      </c>
      <c r="I42" s="6"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5">
        <v>40334.208333333336</v>
      </c>
      <c r="O42" s="5">
        <v>40353.208333333336</v>
      </c>
      <c r="P42" t="b">
        <v>0</v>
      </c>
      <c r="Q42" t="b">
        <v>1</v>
      </c>
      <c r="R42" t="s">
        <v>65</v>
      </c>
      <c r="S42" t="s">
        <v>2038</v>
      </c>
      <c r="T42" t="s">
        <v>2047</v>
      </c>
    </row>
    <row r="43" spans="1:20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213</v>
      </c>
      <c r="G43" t="s">
        <v>20</v>
      </c>
      <c r="H43">
        <v>111</v>
      </c>
      <c r="I43" s="6"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5">
        <v>41156.208333333336</v>
      </c>
      <c r="O43" s="5">
        <v>41182.208333333336</v>
      </c>
      <c r="P43" t="b">
        <v>0</v>
      </c>
      <c r="Q43" t="b">
        <v>1</v>
      </c>
      <c r="R43" t="s">
        <v>23</v>
      </c>
      <c r="S43" t="s">
        <v>2036</v>
      </c>
      <c r="T43" t="s">
        <v>2037</v>
      </c>
    </row>
    <row r="44" spans="1:20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444</v>
      </c>
      <c r="G44" t="s">
        <v>20</v>
      </c>
      <c r="H44">
        <v>222</v>
      </c>
      <c r="I44" s="6"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5">
        <v>40728.208333333336</v>
      </c>
      <c r="O44" s="5">
        <v>40737.208333333336</v>
      </c>
      <c r="P44" t="b">
        <v>0</v>
      </c>
      <c r="Q44" t="b">
        <v>0</v>
      </c>
      <c r="R44" t="s">
        <v>17</v>
      </c>
      <c r="S44" t="s">
        <v>2034</v>
      </c>
      <c r="T44" t="s">
        <v>2035</v>
      </c>
    </row>
    <row r="45" spans="1:20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186</v>
      </c>
      <c r="G45" t="s">
        <v>20</v>
      </c>
      <c r="H45">
        <v>6212</v>
      </c>
      <c r="I45" s="6"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5">
        <v>41844.208333333336</v>
      </c>
      <c r="O45" s="5">
        <v>41860.208333333336</v>
      </c>
      <c r="P45" t="b">
        <v>0</v>
      </c>
      <c r="Q45" t="b">
        <v>0</v>
      </c>
      <c r="R45" t="s">
        <v>133</v>
      </c>
      <c r="S45" t="s">
        <v>2048</v>
      </c>
      <c r="T45" t="s">
        <v>2057</v>
      </c>
    </row>
    <row r="46" spans="1:20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659</v>
      </c>
      <c r="G46" t="s">
        <v>20</v>
      </c>
      <c r="H46">
        <v>98</v>
      </c>
      <c r="I46" s="6"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5">
        <v>43541.208333333336</v>
      </c>
      <c r="O46" s="5">
        <v>43542.208333333336</v>
      </c>
      <c r="P46" t="b">
        <v>0</v>
      </c>
      <c r="Q46" t="b">
        <v>0</v>
      </c>
      <c r="R46" t="s">
        <v>119</v>
      </c>
      <c r="S46" t="s">
        <v>2048</v>
      </c>
      <c r="T46" t="s">
        <v>2054</v>
      </c>
    </row>
    <row r="47" spans="1:20" ht="31.5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48</v>
      </c>
      <c r="G47" t="s">
        <v>14</v>
      </c>
      <c r="H47">
        <v>48</v>
      </c>
      <c r="I47" s="6">
        <v>94.375</v>
      </c>
      <c r="J47" t="s">
        <v>21</v>
      </c>
      <c r="K47" t="s">
        <v>22</v>
      </c>
      <c r="L47">
        <v>1478062800</v>
      </c>
      <c r="M47">
        <v>1479362400</v>
      </c>
      <c r="N47" s="5">
        <v>42676.208333333336</v>
      </c>
      <c r="O47" s="5">
        <v>42691.25</v>
      </c>
      <c r="P47" t="b">
        <v>0</v>
      </c>
      <c r="Q47" t="b">
        <v>1</v>
      </c>
      <c r="R47" t="s">
        <v>33</v>
      </c>
      <c r="S47" t="s">
        <v>2040</v>
      </c>
      <c r="T47" t="s">
        <v>2041</v>
      </c>
    </row>
    <row r="48" spans="1:20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115</v>
      </c>
      <c r="G48" t="s">
        <v>20</v>
      </c>
      <c r="H48">
        <v>92</v>
      </c>
      <c r="I48" s="6"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5">
        <v>40367.208333333336</v>
      </c>
      <c r="O48" s="5">
        <v>40390.208333333336</v>
      </c>
      <c r="P48" t="b">
        <v>0</v>
      </c>
      <c r="Q48" t="b">
        <v>0</v>
      </c>
      <c r="R48" t="s">
        <v>23</v>
      </c>
      <c r="S48" t="s">
        <v>2036</v>
      </c>
      <c r="T48" t="s">
        <v>2037</v>
      </c>
    </row>
    <row r="49" spans="1:20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</v>
      </c>
      <c r="G49" t="s">
        <v>20</v>
      </c>
      <c r="H49">
        <v>149</v>
      </c>
      <c r="I49" s="6"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5">
        <v>41727.208333333336</v>
      </c>
      <c r="O49" s="5">
        <v>41757.208333333336</v>
      </c>
      <c r="P49" t="b">
        <v>0</v>
      </c>
      <c r="Q49" t="b">
        <v>0</v>
      </c>
      <c r="R49" t="s">
        <v>33</v>
      </c>
      <c r="S49" t="s">
        <v>2040</v>
      </c>
      <c r="T49" t="s">
        <v>2041</v>
      </c>
    </row>
    <row r="50" spans="1:20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387</v>
      </c>
      <c r="G50" t="s">
        <v>20</v>
      </c>
      <c r="H50">
        <v>2431</v>
      </c>
      <c r="I50" s="6"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5">
        <v>42180.208333333336</v>
      </c>
      <c r="O50" s="5">
        <v>42192.208333333336</v>
      </c>
      <c r="P50" t="b">
        <v>0</v>
      </c>
      <c r="Q50" t="b">
        <v>0</v>
      </c>
      <c r="R50" t="s">
        <v>33</v>
      </c>
      <c r="S50" t="s">
        <v>2040</v>
      </c>
      <c r="T50" t="s">
        <v>2041</v>
      </c>
    </row>
    <row r="51" spans="1:20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190</v>
      </c>
      <c r="G51" t="s">
        <v>20</v>
      </c>
      <c r="H51">
        <v>303</v>
      </c>
      <c r="I51" s="6"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5">
        <v>43758.208333333336</v>
      </c>
      <c r="O51" s="5">
        <v>43803.25</v>
      </c>
      <c r="P51" t="b">
        <v>0</v>
      </c>
      <c r="Q51" t="b">
        <v>0</v>
      </c>
      <c r="R51" t="s">
        <v>23</v>
      </c>
      <c r="S51" t="s">
        <v>2036</v>
      </c>
      <c r="T51" t="s">
        <v>2037</v>
      </c>
    </row>
    <row r="52" spans="1:20" ht="31.5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t="s">
        <v>14</v>
      </c>
      <c r="H52">
        <v>1</v>
      </c>
      <c r="I52" s="6">
        <v>2</v>
      </c>
      <c r="J52" t="s">
        <v>107</v>
      </c>
      <c r="K52" t="s">
        <v>108</v>
      </c>
      <c r="L52">
        <v>1375333200</v>
      </c>
      <c r="M52">
        <v>1377752400</v>
      </c>
      <c r="N52" s="5">
        <v>41487.208333333336</v>
      </c>
      <c r="O52" s="5">
        <v>41515.208333333336</v>
      </c>
      <c r="P52" t="b">
        <v>0</v>
      </c>
      <c r="Q52" t="b">
        <v>0</v>
      </c>
      <c r="R52" t="s">
        <v>148</v>
      </c>
      <c r="S52" t="s">
        <v>2036</v>
      </c>
      <c r="T52" t="s">
        <v>2058</v>
      </c>
    </row>
    <row r="53" spans="1:20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92</v>
      </c>
      <c r="G53" t="s">
        <v>14</v>
      </c>
      <c r="H53">
        <v>1467</v>
      </c>
      <c r="I53" s="6"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5">
        <v>40995.208333333336</v>
      </c>
      <c r="O53" s="5">
        <v>41011.208333333336</v>
      </c>
      <c r="P53" t="b">
        <v>0</v>
      </c>
      <c r="Q53" t="b">
        <v>1</v>
      </c>
      <c r="R53" t="s">
        <v>65</v>
      </c>
      <c r="S53" t="s">
        <v>2038</v>
      </c>
      <c r="T53" t="s">
        <v>2047</v>
      </c>
    </row>
    <row r="54" spans="1:20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</v>
      </c>
      <c r="G54" t="s">
        <v>14</v>
      </c>
      <c r="H54">
        <v>75</v>
      </c>
      <c r="I54" s="6"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5">
        <v>40436.208333333336</v>
      </c>
      <c r="O54" s="5">
        <v>40440.208333333336</v>
      </c>
      <c r="P54" t="b">
        <v>0</v>
      </c>
      <c r="Q54" t="b">
        <v>0</v>
      </c>
      <c r="R54" t="s">
        <v>33</v>
      </c>
      <c r="S54" t="s">
        <v>2040</v>
      </c>
      <c r="T54" t="s">
        <v>2041</v>
      </c>
    </row>
    <row r="55" spans="1:20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</v>
      </c>
      <c r="G55" t="s">
        <v>20</v>
      </c>
      <c r="H55">
        <v>209</v>
      </c>
      <c r="I55" s="6"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5">
        <v>41779.208333333336</v>
      </c>
      <c r="O55" s="5">
        <v>41818.208333333336</v>
      </c>
      <c r="P55" t="b">
        <v>0</v>
      </c>
      <c r="Q55" t="b">
        <v>0</v>
      </c>
      <c r="R55" t="s">
        <v>53</v>
      </c>
      <c r="S55" t="s">
        <v>2042</v>
      </c>
      <c r="T55" t="s">
        <v>2045</v>
      </c>
    </row>
    <row r="56" spans="1:20" ht="31.5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90</v>
      </c>
      <c r="G56" t="s">
        <v>14</v>
      </c>
      <c r="H56">
        <v>120</v>
      </c>
      <c r="I56" s="6"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5">
        <v>43170.25</v>
      </c>
      <c r="O56" s="5">
        <v>43176.208333333336</v>
      </c>
      <c r="P56" t="b">
        <v>0</v>
      </c>
      <c r="Q56" t="b">
        <v>0</v>
      </c>
      <c r="R56" t="s">
        <v>65</v>
      </c>
      <c r="S56" t="s">
        <v>2038</v>
      </c>
      <c r="T56" t="s">
        <v>2047</v>
      </c>
    </row>
    <row r="57" spans="1:20" ht="31.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178</v>
      </c>
      <c r="G57" t="s">
        <v>20</v>
      </c>
      <c r="H57">
        <v>131</v>
      </c>
      <c r="I57" s="6"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5">
        <v>43311.208333333336</v>
      </c>
      <c r="O57" s="5">
        <v>43316.208333333336</v>
      </c>
      <c r="P57" t="b">
        <v>0</v>
      </c>
      <c r="Q57" t="b">
        <v>0</v>
      </c>
      <c r="R57" t="s">
        <v>159</v>
      </c>
      <c r="S57" t="s">
        <v>2036</v>
      </c>
      <c r="T57" t="s">
        <v>2059</v>
      </c>
    </row>
    <row r="58" spans="1:20" ht="31.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144</v>
      </c>
      <c r="G58" t="s">
        <v>20</v>
      </c>
      <c r="H58">
        <v>164</v>
      </c>
      <c r="I58" s="6"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5">
        <v>42014.25</v>
      </c>
      <c r="O58" s="5">
        <v>42021.25</v>
      </c>
      <c r="P58" t="b">
        <v>0</v>
      </c>
      <c r="Q58" t="b">
        <v>0</v>
      </c>
      <c r="R58" t="s">
        <v>65</v>
      </c>
      <c r="S58" t="s">
        <v>2038</v>
      </c>
      <c r="T58" t="s">
        <v>2047</v>
      </c>
    </row>
    <row r="59" spans="1:20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</v>
      </c>
      <c r="G59" t="s">
        <v>20</v>
      </c>
      <c r="H59">
        <v>201</v>
      </c>
      <c r="I59" s="6"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5">
        <v>42979.208333333336</v>
      </c>
      <c r="O59" s="5">
        <v>42991.208333333336</v>
      </c>
      <c r="P59" t="b">
        <v>0</v>
      </c>
      <c r="Q59" t="b">
        <v>0</v>
      </c>
      <c r="R59" t="s">
        <v>89</v>
      </c>
      <c r="S59" t="s">
        <v>2051</v>
      </c>
      <c r="T59" t="s">
        <v>2052</v>
      </c>
    </row>
    <row r="60" spans="1:20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</v>
      </c>
      <c r="G60" t="s">
        <v>20</v>
      </c>
      <c r="H60">
        <v>211</v>
      </c>
      <c r="I60" s="6"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5">
        <v>42268.208333333336</v>
      </c>
      <c r="O60" s="5">
        <v>42281.208333333336</v>
      </c>
      <c r="P60" t="b">
        <v>0</v>
      </c>
      <c r="Q60" t="b">
        <v>0</v>
      </c>
      <c r="R60" t="s">
        <v>33</v>
      </c>
      <c r="S60" t="s">
        <v>2040</v>
      </c>
      <c r="T60" t="s">
        <v>2041</v>
      </c>
    </row>
    <row r="61" spans="1:20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</v>
      </c>
      <c r="G61" t="s">
        <v>20</v>
      </c>
      <c r="H61">
        <v>128</v>
      </c>
      <c r="I61" s="6">
        <v>30.0859375</v>
      </c>
      <c r="J61" t="s">
        <v>21</v>
      </c>
      <c r="K61" t="s">
        <v>22</v>
      </c>
      <c r="L61">
        <v>1497243600</v>
      </c>
      <c r="M61">
        <v>1498539600</v>
      </c>
      <c r="N61" s="5">
        <v>42898.208333333336</v>
      </c>
      <c r="O61" s="5">
        <v>42913.208333333336</v>
      </c>
      <c r="P61" t="b">
        <v>0</v>
      </c>
      <c r="Q61" t="b">
        <v>1</v>
      </c>
      <c r="R61" t="s">
        <v>33</v>
      </c>
      <c r="S61" t="s">
        <v>2040</v>
      </c>
      <c r="T61" t="s">
        <v>2041</v>
      </c>
    </row>
    <row r="62" spans="1:20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</v>
      </c>
      <c r="G62" t="s">
        <v>20</v>
      </c>
      <c r="H62">
        <v>1600</v>
      </c>
      <c r="I62" s="6"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5">
        <v>41107.208333333336</v>
      </c>
      <c r="O62" s="5">
        <v>41110.208333333336</v>
      </c>
      <c r="P62" t="b">
        <v>0</v>
      </c>
      <c r="Q62" t="b">
        <v>0</v>
      </c>
      <c r="R62" t="s">
        <v>33</v>
      </c>
      <c r="S62" t="s">
        <v>2040</v>
      </c>
      <c r="T62" t="s">
        <v>2041</v>
      </c>
    </row>
    <row r="63" spans="1:20" ht="31.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93</v>
      </c>
      <c r="G63" t="s">
        <v>14</v>
      </c>
      <c r="H63">
        <v>2253</v>
      </c>
      <c r="I63" s="6"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5">
        <v>40595.25</v>
      </c>
      <c r="O63" s="5">
        <v>40635.208333333336</v>
      </c>
      <c r="P63" t="b">
        <v>0</v>
      </c>
      <c r="Q63" t="b">
        <v>0</v>
      </c>
      <c r="R63" t="s">
        <v>33</v>
      </c>
      <c r="S63" t="s">
        <v>2040</v>
      </c>
      <c r="T63" t="s">
        <v>2041</v>
      </c>
    </row>
    <row r="64" spans="1:20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723</v>
      </c>
      <c r="G64" t="s">
        <v>20</v>
      </c>
      <c r="H64">
        <v>249</v>
      </c>
      <c r="I64" s="6"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5">
        <v>42160.208333333336</v>
      </c>
      <c r="O64" s="5">
        <v>42161.208333333336</v>
      </c>
      <c r="P64" t="b">
        <v>0</v>
      </c>
      <c r="Q64" t="b">
        <v>0</v>
      </c>
      <c r="R64" t="s">
        <v>28</v>
      </c>
      <c r="S64" t="s">
        <v>2038</v>
      </c>
      <c r="T64" t="s">
        <v>2039</v>
      </c>
    </row>
    <row r="65" spans="1:20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12</v>
      </c>
      <c r="G65" t="s">
        <v>14</v>
      </c>
      <c r="H65">
        <v>5</v>
      </c>
      <c r="I65" s="6">
        <v>111.4</v>
      </c>
      <c r="J65" t="s">
        <v>21</v>
      </c>
      <c r="K65" t="s">
        <v>22</v>
      </c>
      <c r="L65">
        <v>1493355600</v>
      </c>
      <c r="M65">
        <v>1493874000</v>
      </c>
      <c r="N65" s="5">
        <v>42853.208333333336</v>
      </c>
      <c r="O65" s="5">
        <v>42859.208333333336</v>
      </c>
      <c r="P65" t="b">
        <v>0</v>
      </c>
      <c r="Q65" t="b">
        <v>0</v>
      </c>
      <c r="R65" t="s">
        <v>33</v>
      </c>
      <c r="S65" t="s">
        <v>2040</v>
      </c>
      <c r="T65" t="s">
        <v>2041</v>
      </c>
    </row>
    <row r="66" spans="1:20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98</v>
      </c>
      <c r="G66" t="s">
        <v>14</v>
      </c>
      <c r="H66">
        <v>38</v>
      </c>
      <c r="I66" s="6"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5">
        <v>43283.208333333336</v>
      </c>
      <c r="O66" s="5">
        <v>43298.208333333336</v>
      </c>
      <c r="P66" t="b">
        <v>0</v>
      </c>
      <c r="Q66" t="b">
        <v>1</v>
      </c>
      <c r="R66" t="s">
        <v>28</v>
      </c>
      <c r="S66" t="s">
        <v>2038</v>
      </c>
      <c r="T66" t="s">
        <v>2039</v>
      </c>
    </row>
    <row r="67" spans="1:20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si="0"/>
        <v>236</v>
      </c>
      <c r="G67" t="s">
        <v>20</v>
      </c>
      <c r="H67">
        <v>236</v>
      </c>
      <c r="I67" s="6"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5">
        <v>40570.25</v>
      </c>
      <c r="O67" s="5">
        <v>40577.25</v>
      </c>
      <c r="P67" t="b">
        <v>0</v>
      </c>
      <c r="Q67" t="b">
        <v>0</v>
      </c>
      <c r="R67" t="s">
        <v>33</v>
      </c>
      <c r="S67" t="s">
        <v>2040</v>
      </c>
      <c r="T67" t="s">
        <v>2041</v>
      </c>
    </row>
    <row r="68" spans="1:20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ref="F68:F131" si="1">ROUND(E68/D68*100,0)</f>
        <v>45</v>
      </c>
      <c r="G68" t="s">
        <v>14</v>
      </c>
      <c r="H68">
        <v>12</v>
      </c>
      <c r="I68" s="6"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5">
        <v>42102.208333333336</v>
      </c>
      <c r="O68" s="5">
        <v>42107.208333333336</v>
      </c>
      <c r="P68" t="b">
        <v>0</v>
      </c>
      <c r="Q68" t="b">
        <v>1</v>
      </c>
      <c r="R68" t="s">
        <v>33</v>
      </c>
      <c r="S68" t="s">
        <v>2040</v>
      </c>
      <c r="T68" t="s">
        <v>2041</v>
      </c>
    </row>
    <row r="69" spans="1:20" ht="31.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1"/>
        <v>162</v>
      </c>
      <c r="G69" t="s">
        <v>20</v>
      </c>
      <c r="H69">
        <v>4065</v>
      </c>
      <c r="I69" s="6"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5">
        <v>40203.25</v>
      </c>
      <c r="O69" s="5">
        <v>40208.25</v>
      </c>
      <c r="P69" t="b">
        <v>0</v>
      </c>
      <c r="Q69" t="b">
        <v>1</v>
      </c>
      <c r="R69" t="s">
        <v>65</v>
      </c>
      <c r="S69" t="s">
        <v>2038</v>
      </c>
      <c r="T69" t="s">
        <v>2047</v>
      </c>
    </row>
    <row r="70" spans="1:20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1"/>
        <v>255</v>
      </c>
      <c r="G70" t="s">
        <v>20</v>
      </c>
      <c r="H70">
        <v>246</v>
      </c>
      <c r="I70" s="6"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5">
        <v>42943.208333333336</v>
      </c>
      <c r="O70" s="5">
        <v>42990.208333333336</v>
      </c>
      <c r="P70" t="b">
        <v>0</v>
      </c>
      <c r="Q70" t="b">
        <v>1</v>
      </c>
      <c r="R70" t="s">
        <v>33</v>
      </c>
      <c r="S70" t="s">
        <v>2040</v>
      </c>
      <c r="T70" t="s">
        <v>2041</v>
      </c>
    </row>
    <row r="71" spans="1:20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1"/>
        <v>24</v>
      </c>
      <c r="G71" t="s">
        <v>74</v>
      </c>
      <c r="H71">
        <v>17</v>
      </c>
      <c r="I71" s="6"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5">
        <v>40531.25</v>
      </c>
      <c r="O71" s="5">
        <v>40565.25</v>
      </c>
      <c r="P71" t="b">
        <v>0</v>
      </c>
      <c r="Q71" t="b">
        <v>0</v>
      </c>
      <c r="R71" t="s">
        <v>33</v>
      </c>
      <c r="S71" t="s">
        <v>2040</v>
      </c>
      <c r="T71" t="s">
        <v>2041</v>
      </c>
    </row>
    <row r="72" spans="1:20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1"/>
        <v>124</v>
      </c>
      <c r="G72" t="s">
        <v>20</v>
      </c>
      <c r="H72">
        <v>2475</v>
      </c>
      <c r="I72" s="6"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5">
        <v>40484.208333333336</v>
      </c>
      <c r="O72" s="5">
        <v>40533.25</v>
      </c>
      <c r="P72" t="b">
        <v>0</v>
      </c>
      <c r="Q72" t="b">
        <v>1</v>
      </c>
      <c r="R72" t="s">
        <v>33</v>
      </c>
      <c r="S72" t="s">
        <v>2040</v>
      </c>
      <c r="T72" t="s">
        <v>2041</v>
      </c>
    </row>
    <row r="73" spans="1:20" ht="31.5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1"/>
        <v>108</v>
      </c>
      <c r="G73" t="s">
        <v>20</v>
      </c>
      <c r="H73">
        <v>76</v>
      </c>
      <c r="I73" s="6"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5">
        <v>43799.25</v>
      </c>
      <c r="O73" s="5">
        <v>43803.25</v>
      </c>
      <c r="P73" t="b">
        <v>0</v>
      </c>
      <c r="Q73" t="b">
        <v>0</v>
      </c>
      <c r="R73" t="s">
        <v>33</v>
      </c>
      <c r="S73" t="s">
        <v>2040</v>
      </c>
      <c r="T73" t="s">
        <v>2041</v>
      </c>
    </row>
    <row r="74" spans="1:20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1"/>
        <v>670</v>
      </c>
      <c r="G74" t="s">
        <v>20</v>
      </c>
      <c r="H74">
        <v>54</v>
      </c>
      <c r="I74" s="6"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5">
        <v>42186.208333333336</v>
      </c>
      <c r="O74" s="5">
        <v>42222.208333333336</v>
      </c>
      <c r="P74" t="b">
        <v>0</v>
      </c>
      <c r="Q74" t="b">
        <v>0</v>
      </c>
      <c r="R74" t="s">
        <v>71</v>
      </c>
      <c r="S74" t="s">
        <v>2042</v>
      </c>
      <c r="T74" t="s">
        <v>2050</v>
      </c>
    </row>
    <row r="75" spans="1:20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1"/>
        <v>661</v>
      </c>
      <c r="G75" t="s">
        <v>20</v>
      </c>
      <c r="H75">
        <v>88</v>
      </c>
      <c r="I75" s="6"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5">
        <v>42701.25</v>
      </c>
      <c r="O75" s="5">
        <v>42704.25</v>
      </c>
      <c r="P75" t="b">
        <v>0</v>
      </c>
      <c r="Q75" t="b">
        <v>0</v>
      </c>
      <c r="R75" t="s">
        <v>159</v>
      </c>
      <c r="S75" t="s">
        <v>2036</v>
      </c>
      <c r="T75" t="s">
        <v>2059</v>
      </c>
    </row>
    <row r="76" spans="1:20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1"/>
        <v>122</v>
      </c>
      <c r="G76" t="s">
        <v>20</v>
      </c>
      <c r="H76">
        <v>85</v>
      </c>
      <c r="I76" s="6"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5">
        <v>42456.208333333336</v>
      </c>
      <c r="O76" s="5">
        <v>42457.208333333336</v>
      </c>
      <c r="P76" t="b">
        <v>0</v>
      </c>
      <c r="Q76" t="b">
        <v>0</v>
      </c>
      <c r="R76" t="s">
        <v>148</v>
      </c>
      <c r="S76" t="s">
        <v>2036</v>
      </c>
      <c r="T76" t="s">
        <v>2058</v>
      </c>
    </row>
    <row r="77" spans="1:20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1"/>
        <v>151</v>
      </c>
      <c r="G77" t="s">
        <v>20</v>
      </c>
      <c r="H77">
        <v>170</v>
      </c>
      <c r="I77" s="6"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5">
        <v>43296.208333333336</v>
      </c>
      <c r="O77" s="5">
        <v>43304.208333333336</v>
      </c>
      <c r="P77" t="b">
        <v>0</v>
      </c>
      <c r="Q77" t="b">
        <v>0</v>
      </c>
      <c r="R77" t="s">
        <v>122</v>
      </c>
      <c r="S77" t="s">
        <v>2055</v>
      </c>
      <c r="T77" t="s">
        <v>2056</v>
      </c>
    </row>
    <row r="78" spans="1:20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1"/>
        <v>78</v>
      </c>
      <c r="G78" t="s">
        <v>14</v>
      </c>
      <c r="H78">
        <v>1684</v>
      </c>
      <c r="I78" s="6"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5">
        <v>42027.25</v>
      </c>
      <c r="O78" s="5">
        <v>42076.208333333336</v>
      </c>
      <c r="P78" t="b">
        <v>1</v>
      </c>
      <c r="Q78" t="b">
        <v>1</v>
      </c>
      <c r="R78" t="s">
        <v>33</v>
      </c>
      <c r="S78" t="s">
        <v>2040</v>
      </c>
      <c r="T78" t="s">
        <v>2041</v>
      </c>
    </row>
    <row r="79" spans="1:20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1"/>
        <v>47</v>
      </c>
      <c r="G79" t="s">
        <v>14</v>
      </c>
      <c r="H79">
        <v>56</v>
      </c>
      <c r="I79" s="6"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5">
        <v>40448.208333333336</v>
      </c>
      <c r="O79" s="5">
        <v>40462.208333333336</v>
      </c>
      <c r="P79" t="b">
        <v>0</v>
      </c>
      <c r="Q79" t="b">
        <v>1</v>
      </c>
      <c r="R79" t="s">
        <v>71</v>
      </c>
      <c r="S79" t="s">
        <v>2042</v>
      </c>
      <c r="T79" t="s">
        <v>2050</v>
      </c>
    </row>
    <row r="80" spans="1:20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1"/>
        <v>301</v>
      </c>
      <c r="G80" t="s">
        <v>20</v>
      </c>
      <c r="H80">
        <v>330</v>
      </c>
      <c r="I80" s="6"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5">
        <v>43206.208333333336</v>
      </c>
      <c r="O80" s="5">
        <v>43207.208333333336</v>
      </c>
      <c r="P80" t="b">
        <v>0</v>
      </c>
      <c r="Q80" t="b">
        <v>0</v>
      </c>
      <c r="R80" t="s">
        <v>206</v>
      </c>
      <c r="S80" t="s">
        <v>2048</v>
      </c>
      <c r="T80" t="s">
        <v>2060</v>
      </c>
    </row>
    <row r="81" spans="1:20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1"/>
        <v>70</v>
      </c>
      <c r="G81" t="s">
        <v>14</v>
      </c>
      <c r="H81">
        <v>838</v>
      </c>
      <c r="I81" s="6"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5">
        <v>43267.208333333336</v>
      </c>
      <c r="O81" s="5">
        <v>43272.208333333336</v>
      </c>
      <c r="P81" t="b">
        <v>0</v>
      </c>
      <c r="Q81" t="b">
        <v>0</v>
      </c>
      <c r="R81" t="s">
        <v>33</v>
      </c>
      <c r="S81" t="s">
        <v>2040</v>
      </c>
      <c r="T81" t="s">
        <v>2041</v>
      </c>
    </row>
    <row r="82" spans="1:20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1"/>
        <v>637</v>
      </c>
      <c r="G82" t="s">
        <v>20</v>
      </c>
      <c r="H82">
        <v>127</v>
      </c>
      <c r="I82" s="6"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5">
        <v>42976.208333333336</v>
      </c>
      <c r="O82" s="5">
        <v>43006.208333333336</v>
      </c>
      <c r="P82" t="b">
        <v>0</v>
      </c>
      <c r="Q82" t="b">
        <v>0</v>
      </c>
      <c r="R82" t="s">
        <v>89</v>
      </c>
      <c r="S82" t="s">
        <v>2051</v>
      </c>
      <c r="T82" t="s">
        <v>2052</v>
      </c>
    </row>
    <row r="83" spans="1:20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1"/>
        <v>225</v>
      </c>
      <c r="G83" t="s">
        <v>20</v>
      </c>
      <c r="H83">
        <v>411</v>
      </c>
      <c r="I83" s="6"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5">
        <v>43062.25</v>
      </c>
      <c r="O83" s="5">
        <v>43087.25</v>
      </c>
      <c r="P83" t="b">
        <v>0</v>
      </c>
      <c r="Q83" t="b">
        <v>0</v>
      </c>
      <c r="R83" t="s">
        <v>23</v>
      </c>
      <c r="S83" t="s">
        <v>2036</v>
      </c>
      <c r="T83" t="s">
        <v>2037</v>
      </c>
    </row>
    <row r="84" spans="1:20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1"/>
        <v>1497</v>
      </c>
      <c r="G84" t="s">
        <v>20</v>
      </c>
      <c r="H84">
        <v>180</v>
      </c>
      <c r="I84" s="6"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5">
        <v>43482.25</v>
      </c>
      <c r="O84" s="5">
        <v>43489.25</v>
      </c>
      <c r="P84" t="b">
        <v>0</v>
      </c>
      <c r="Q84" t="b">
        <v>1</v>
      </c>
      <c r="R84" t="s">
        <v>89</v>
      </c>
      <c r="S84" t="s">
        <v>2051</v>
      </c>
      <c r="T84" t="s">
        <v>2052</v>
      </c>
    </row>
    <row r="85" spans="1:20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1"/>
        <v>38</v>
      </c>
      <c r="G85" t="s">
        <v>14</v>
      </c>
      <c r="H85">
        <v>1000</v>
      </c>
      <c r="I85" s="6"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5">
        <v>42579.208333333336</v>
      </c>
      <c r="O85" s="5">
        <v>42601.208333333336</v>
      </c>
      <c r="P85" t="b">
        <v>0</v>
      </c>
      <c r="Q85" t="b">
        <v>0</v>
      </c>
      <c r="R85" t="s">
        <v>50</v>
      </c>
      <c r="S85" t="s">
        <v>2036</v>
      </c>
      <c r="T85" t="s">
        <v>2044</v>
      </c>
    </row>
    <row r="86" spans="1:20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1"/>
        <v>132</v>
      </c>
      <c r="G86" t="s">
        <v>20</v>
      </c>
      <c r="H86">
        <v>374</v>
      </c>
      <c r="I86" s="6"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5">
        <v>41118.208333333336</v>
      </c>
      <c r="O86" s="5">
        <v>41128.208333333336</v>
      </c>
      <c r="P86" t="b">
        <v>0</v>
      </c>
      <c r="Q86" t="b">
        <v>0</v>
      </c>
      <c r="R86" t="s">
        <v>65</v>
      </c>
      <c r="S86" t="s">
        <v>2038</v>
      </c>
      <c r="T86" t="s">
        <v>2047</v>
      </c>
    </row>
    <row r="87" spans="1:20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1"/>
        <v>131</v>
      </c>
      <c r="G87" t="s">
        <v>20</v>
      </c>
      <c r="H87">
        <v>71</v>
      </c>
      <c r="I87" s="6"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5">
        <v>40797.208333333336</v>
      </c>
      <c r="O87" s="5">
        <v>40805.208333333336</v>
      </c>
      <c r="P87" t="b">
        <v>0</v>
      </c>
      <c r="Q87" t="b">
        <v>0</v>
      </c>
      <c r="R87" t="s">
        <v>60</v>
      </c>
      <c r="S87" t="s">
        <v>2036</v>
      </c>
      <c r="T87" t="s">
        <v>2046</v>
      </c>
    </row>
    <row r="88" spans="1:20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1"/>
        <v>168</v>
      </c>
      <c r="G88" t="s">
        <v>20</v>
      </c>
      <c r="H88">
        <v>203</v>
      </c>
      <c r="I88" s="6"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5">
        <v>42128.208333333336</v>
      </c>
      <c r="O88" s="5">
        <v>42141.208333333336</v>
      </c>
      <c r="P88" t="b">
        <v>1</v>
      </c>
      <c r="Q88" t="b">
        <v>0</v>
      </c>
      <c r="R88" t="s">
        <v>33</v>
      </c>
      <c r="S88" t="s">
        <v>2040</v>
      </c>
      <c r="T88" t="s">
        <v>2041</v>
      </c>
    </row>
    <row r="89" spans="1:20" ht="31.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1"/>
        <v>62</v>
      </c>
      <c r="G89" t="s">
        <v>14</v>
      </c>
      <c r="H89">
        <v>1482</v>
      </c>
      <c r="I89" s="6"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5">
        <v>40610.25</v>
      </c>
      <c r="O89" s="5">
        <v>40621.208333333336</v>
      </c>
      <c r="P89" t="b">
        <v>0</v>
      </c>
      <c r="Q89" t="b">
        <v>1</v>
      </c>
      <c r="R89" t="s">
        <v>23</v>
      </c>
      <c r="S89" t="s">
        <v>2036</v>
      </c>
      <c r="T89" t="s">
        <v>2037</v>
      </c>
    </row>
    <row r="90" spans="1:20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1"/>
        <v>261</v>
      </c>
      <c r="G90" t="s">
        <v>20</v>
      </c>
      <c r="H90">
        <v>113</v>
      </c>
      <c r="I90" s="6"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5">
        <v>42110.208333333336</v>
      </c>
      <c r="O90" s="5">
        <v>42132.208333333336</v>
      </c>
      <c r="P90" t="b">
        <v>0</v>
      </c>
      <c r="Q90" t="b">
        <v>0</v>
      </c>
      <c r="R90" t="s">
        <v>206</v>
      </c>
      <c r="S90" t="s">
        <v>2048</v>
      </c>
      <c r="T90" t="s">
        <v>2060</v>
      </c>
    </row>
    <row r="91" spans="1:20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1"/>
        <v>253</v>
      </c>
      <c r="G91" t="s">
        <v>20</v>
      </c>
      <c r="H91">
        <v>96</v>
      </c>
      <c r="I91" s="6"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5">
        <v>40283.208333333336</v>
      </c>
      <c r="O91" s="5">
        <v>40285.208333333336</v>
      </c>
      <c r="P91" t="b">
        <v>0</v>
      </c>
      <c r="Q91" t="b">
        <v>0</v>
      </c>
      <c r="R91" t="s">
        <v>33</v>
      </c>
      <c r="S91" t="s">
        <v>2040</v>
      </c>
      <c r="T91" t="s">
        <v>2041</v>
      </c>
    </row>
    <row r="92" spans="1:20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1"/>
        <v>79</v>
      </c>
      <c r="G92" t="s">
        <v>14</v>
      </c>
      <c r="H92">
        <v>106</v>
      </c>
      <c r="I92" s="6"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5">
        <v>42425.25</v>
      </c>
      <c r="O92" s="5">
        <v>42425.25</v>
      </c>
      <c r="P92" t="b">
        <v>0</v>
      </c>
      <c r="Q92" t="b">
        <v>1</v>
      </c>
      <c r="R92" t="s">
        <v>33</v>
      </c>
      <c r="S92" t="s">
        <v>2040</v>
      </c>
      <c r="T92" t="s">
        <v>2041</v>
      </c>
    </row>
    <row r="93" spans="1:20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1"/>
        <v>48</v>
      </c>
      <c r="G93" t="s">
        <v>14</v>
      </c>
      <c r="H93">
        <v>679</v>
      </c>
      <c r="I93" s="6"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5">
        <v>42588.208333333336</v>
      </c>
      <c r="O93" s="5">
        <v>42616.208333333336</v>
      </c>
      <c r="P93" t="b">
        <v>0</v>
      </c>
      <c r="Q93" t="b">
        <v>0</v>
      </c>
      <c r="R93" t="s">
        <v>206</v>
      </c>
      <c r="S93" t="s">
        <v>2048</v>
      </c>
      <c r="T93" t="s">
        <v>2060</v>
      </c>
    </row>
    <row r="94" spans="1:20" ht="31.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1"/>
        <v>259</v>
      </c>
      <c r="G94" t="s">
        <v>20</v>
      </c>
      <c r="H94">
        <v>498</v>
      </c>
      <c r="I94" s="6"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5">
        <v>40352.208333333336</v>
      </c>
      <c r="O94" s="5">
        <v>40353.208333333336</v>
      </c>
      <c r="P94" t="b">
        <v>0</v>
      </c>
      <c r="Q94" t="b">
        <v>1</v>
      </c>
      <c r="R94" t="s">
        <v>89</v>
      </c>
      <c r="S94" t="s">
        <v>2051</v>
      </c>
      <c r="T94" t="s">
        <v>2052</v>
      </c>
    </row>
    <row r="95" spans="1:20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1"/>
        <v>61</v>
      </c>
      <c r="G95" t="s">
        <v>74</v>
      </c>
      <c r="H95">
        <v>610</v>
      </c>
      <c r="I95" s="6"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5">
        <v>41202.208333333336</v>
      </c>
      <c r="O95" s="5">
        <v>41206.208333333336</v>
      </c>
      <c r="P95" t="b">
        <v>0</v>
      </c>
      <c r="Q95" t="b">
        <v>1</v>
      </c>
      <c r="R95" t="s">
        <v>33</v>
      </c>
      <c r="S95" t="s">
        <v>2040</v>
      </c>
      <c r="T95" t="s">
        <v>2041</v>
      </c>
    </row>
    <row r="96" spans="1:20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1"/>
        <v>304</v>
      </c>
      <c r="G96" t="s">
        <v>20</v>
      </c>
      <c r="H96">
        <v>180</v>
      </c>
      <c r="I96" s="6"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5">
        <v>43562.208333333336</v>
      </c>
      <c r="O96" s="5">
        <v>43573.208333333336</v>
      </c>
      <c r="P96" t="b">
        <v>0</v>
      </c>
      <c r="Q96" t="b">
        <v>0</v>
      </c>
      <c r="R96" t="s">
        <v>28</v>
      </c>
      <c r="S96" t="s">
        <v>2038</v>
      </c>
      <c r="T96" t="s">
        <v>2039</v>
      </c>
    </row>
    <row r="97" spans="1:20" ht="31.5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1"/>
        <v>113</v>
      </c>
      <c r="G97" t="s">
        <v>20</v>
      </c>
      <c r="H97">
        <v>27</v>
      </c>
      <c r="I97" s="6"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5">
        <v>43752.208333333336</v>
      </c>
      <c r="O97" s="5">
        <v>43759.208333333336</v>
      </c>
      <c r="P97" t="b">
        <v>0</v>
      </c>
      <c r="Q97" t="b">
        <v>0</v>
      </c>
      <c r="R97" t="s">
        <v>42</v>
      </c>
      <c r="S97" t="s">
        <v>2042</v>
      </c>
      <c r="T97" t="s">
        <v>2043</v>
      </c>
    </row>
    <row r="98" spans="1:20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1"/>
        <v>217</v>
      </c>
      <c r="G98" t="s">
        <v>20</v>
      </c>
      <c r="H98">
        <v>2331</v>
      </c>
      <c r="I98" s="6"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5">
        <v>40612.25</v>
      </c>
      <c r="O98" s="5">
        <v>40625.208333333336</v>
      </c>
      <c r="P98" t="b">
        <v>0</v>
      </c>
      <c r="Q98" t="b">
        <v>0</v>
      </c>
      <c r="R98" t="s">
        <v>33</v>
      </c>
      <c r="S98" t="s">
        <v>2040</v>
      </c>
      <c r="T98" t="s">
        <v>2041</v>
      </c>
    </row>
    <row r="99" spans="1:20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1"/>
        <v>927</v>
      </c>
      <c r="G99" t="s">
        <v>20</v>
      </c>
      <c r="H99">
        <v>113</v>
      </c>
      <c r="I99" s="6"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5">
        <v>42180.208333333336</v>
      </c>
      <c r="O99" s="5">
        <v>42234.208333333336</v>
      </c>
      <c r="P99" t="b">
        <v>0</v>
      </c>
      <c r="Q99" t="b">
        <v>0</v>
      </c>
      <c r="R99" t="s">
        <v>17</v>
      </c>
      <c r="S99" t="s">
        <v>2034</v>
      </c>
      <c r="T99" t="s">
        <v>2035</v>
      </c>
    </row>
    <row r="100" spans="1:20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1"/>
        <v>34</v>
      </c>
      <c r="G100" t="s">
        <v>14</v>
      </c>
      <c r="H100">
        <v>1220</v>
      </c>
      <c r="I100" s="6"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5">
        <v>42212.208333333336</v>
      </c>
      <c r="O100" s="5">
        <v>42216.208333333336</v>
      </c>
      <c r="P100" t="b">
        <v>0</v>
      </c>
      <c r="Q100" t="b">
        <v>0</v>
      </c>
      <c r="R100" t="s">
        <v>89</v>
      </c>
      <c r="S100" t="s">
        <v>2051</v>
      </c>
      <c r="T100" t="s">
        <v>2052</v>
      </c>
    </row>
    <row r="101" spans="1:20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1"/>
        <v>197</v>
      </c>
      <c r="G101" t="s">
        <v>20</v>
      </c>
      <c r="H101">
        <v>164</v>
      </c>
      <c r="I101" s="6"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5">
        <v>41968.25</v>
      </c>
      <c r="O101" s="5">
        <v>41997.25</v>
      </c>
      <c r="P101" t="b">
        <v>0</v>
      </c>
      <c r="Q101" t="b">
        <v>0</v>
      </c>
      <c r="R101" t="s">
        <v>33</v>
      </c>
      <c r="S101" t="s">
        <v>2040</v>
      </c>
      <c r="T101" t="s">
        <v>2041</v>
      </c>
    </row>
    <row r="102" spans="1:20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1"/>
        <v>1</v>
      </c>
      <c r="G102" t="s">
        <v>14</v>
      </c>
      <c r="H102">
        <v>1</v>
      </c>
      <c r="I102" s="6">
        <v>1</v>
      </c>
      <c r="J102" t="s">
        <v>21</v>
      </c>
      <c r="K102" t="s">
        <v>22</v>
      </c>
      <c r="L102">
        <v>1319000400</v>
      </c>
      <c r="M102">
        <v>1320555600</v>
      </c>
      <c r="N102" s="5">
        <v>40835.208333333336</v>
      </c>
      <c r="O102" s="5">
        <v>40853.208333333336</v>
      </c>
      <c r="P102" t="b">
        <v>0</v>
      </c>
      <c r="Q102" t="b">
        <v>0</v>
      </c>
      <c r="R102" t="s">
        <v>33</v>
      </c>
      <c r="S102" t="s">
        <v>2040</v>
      </c>
      <c r="T102" t="s">
        <v>2041</v>
      </c>
    </row>
    <row r="103" spans="1:20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1"/>
        <v>1021</v>
      </c>
      <c r="G103" t="s">
        <v>20</v>
      </c>
      <c r="H103">
        <v>164</v>
      </c>
      <c r="I103" s="6"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5">
        <v>42056.25</v>
      </c>
      <c r="O103" s="5">
        <v>42063.25</v>
      </c>
      <c r="P103" t="b">
        <v>0</v>
      </c>
      <c r="Q103" t="b">
        <v>1</v>
      </c>
      <c r="R103" t="s">
        <v>50</v>
      </c>
      <c r="S103" t="s">
        <v>2036</v>
      </c>
      <c r="T103" t="s">
        <v>2044</v>
      </c>
    </row>
    <row r="104" spans="1:20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1"/>
        <v>282</v>
      </c>
      <c r="G104" t="s">
        <v>20</v>
      </c>
      <c r="H104">
        <v>336</v>
      </c>
      <c r="I104" s="6"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5">
        <v>43234.208333333336</v>
      </c>
      <c r="O104" s="5">
        <v>43241.208333333336</v>
      </c>
      <c r="P104" t="b">
        <v>0</v>
      </c>
      <c r="Q104" t="b">
        <v>1</v>
      </c>
      <c r="R104" t="s">
        <v>65</v>
      </c>
      <c r="S104" t="s">
        <v>2038</v>
      </c>
      <c r="T104" t="s">
        <v>2047</v>
      </c>
    </row>
    <row r="105" spans="1:20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1"/>
        <v>25</v>
      </c>
      <c r="G105" t="s">
        <v>14</v>
      </c>
      <c r="H105">
        <v>37</v>
      </c>
      <c r="I105" s="6"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5">
        <v>40475.208333333336</v>
      </c>
      <c r="O105" s="5">
        <v>40484.208333333336</v>
      </c>
      <c r="P105" t="b">
        <v>0</v>
      </c>
      <c r="Q105" t="b">
        <v>0</v>
      </c>
      <c r="R105" t="s">
        <v>50</v>
      </c>
      <c r="S105" t="s">
        <v>2036</v>
      </c>
      <c r="T105" t="s">
        <v>2044</v>
      </c>
    </row>
    <row r="106" spans="1:20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1"/>
        <v>143</v>
      </c>
      <c r="G106" t="s">
        <v>20</v>
      </c>
      <c r="H106">
        <v>1917</v>
      </c>
      <c r="I106" s="6"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5">
        <v>42878.208333333336</v>
      </c>
      <c r="O106" s="5">
        <v>42879.208333333336</v>
      </c>
      <c r="P106" t="b">
        <v>0</v>
      </c>
      <c r="Q106" t="b">
        <v>0</v>
      </c>
      <c r="R106" t="s">
        <v>60</v>
      </c>
      <c r="S106" t="s">
        <v>2036</v>
      </c>
      <c r="T106" t="s">
        <v>2046</v>
      </c>
    </row>
    <row r="107" spans="1:20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1"/>
        <v>145</v>
      </c>
      <c r="G107" t="s">
        <v>20</v>
      </c>
      <c r="H107">
        <v>95</v>
      </c>
      <c r="I107" s="6"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5">
        <v>41366.208333333336</v>
      </c>
      <c r="O107" s="5">
        <v>41384.208333333336</v>
      </c>
      <c r="P107" t="b">
        <v>0</v>
      </c>
      <c r="Q107" t="b">
        <v>0</v>
      </c>
      <c r="R107" t="s">
        <v>28</v>
      </c>
      <c r="S107" t="s">
        <v>2038</v>
      </c>
      <c r="T107" t="s">
        <v>2039</v>
      </c>
    </row>
    <row r="108" spans="1:20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1"/>
        <v>359</v>
      </c>
      <c r="G108" t="s">
        <v>20</v>
      </c>
      <c r="H108">
        <v>147</v>
      </c>
      <c r="I108" s="6"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5">
        <v>43716.208333333336</v>
      </c>
      <c r="O108" s="5">
        <v>43721.208333333336</v>
      </c>
      <c r="P108" t="b">
        <v>0</v>
      </c>
      <c r="Q108" t="b">
        <v>0</v>
      </c>
      <c r="R108" t="s">
        <v>33</v>
      </c>
      <c r="S108" t="s">
        <v>2040</v>
      </c>
      <c r="T108" t="s">
        <v>2041</v>
      </c>
    </row>
    <row r="109" spans="1:20" ht="31.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1"/>
        <v>186</v>
      </c>
      <c r="G109" t="s">
        <v>20</v>
      </c>
      <c r="H109">
        <v>86</v>
      </c>
      <c r="I109" s="6"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5">
        <v>43213.208333333336</v>
      </c>
      <c r="O109" s="5">
        <v>43230.208333333336</v>
      </c>
      <c r="P109" t="b">
        <v>0</v>
      </c>
      <c r="Q109" t="b">
        <v>1</v>
      </c>
      <c r="R109" t="s">
        <v>33</v>
      </c>
      <c r="S109" t="s">
        <v>2040</v>
      </c>
      <c r="T109" t="s">
        <v>2041</v>
      </c>
    </row>
    <row r="110" spans="1:20" ht="31.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1"/>
        <v>595</v>
      </c>
      <c r="G110" t="s">
        <v>20</v>
      </c>
      <c r="H110">
        <v>83</v>
      </c>
      <c r="I110" s="6"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5">
        <v>41005.208333333336</v>
      </c>
      <c r="O110" s="5">
        <v>41042.208333333336</v>
      </c>
      <c r="P110" t="b">
        <v>0</v>
      </c>
      <c r="Q110" t="b">
        <v>0</v>
      </c>
      <c r="R110" t="s">
        <v>42</v>
      </c>
      <c r="S110" t="s">
        <v>2042</v>
      </c>
      <c r="T110" t="s">
        <v>2043</v>
      </c>
    </row>
    <row r="111" spans="1:20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1"/>
        <v>59</v>
      </c>
      <c r="G111" t="s">
        <v>14</v>
      </c>
      <c r="H111">
        <v>60</v>
      </c>
      <c r="I111" s="6"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5">
        <v>41651.25</v>
      </c>
      <c r="O111" s="5">
        <v>41653.25</v>
      </c>
      <c r="P111" t="b">
        <v>0</v>
      </c>
      <c r="Q111" t="b">
        <v>0</v>
      </c>
      <c r="R111" t="s">
        <v>269</v>
      </c>
      <c r="S111" t="s">
        <v>2042</v>
      </c>
      <c r="T111" t="s">
        <v>2061</v>
      </c>
    </row>
    <row r="112" spans="1:20" ht="31.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1"/>
        <v>15</v>
      </c>
      <c r="G112" t="s">
        <v>14</v>
      </c>
      <c r="H112">
        <v>296</v>
      </c>
      <c r="I112" s="6"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5">
        <v>43354.208333333336</v>
      </c>
      <c r="O112" s="5">
        <v>43373.208333333336</v>
      </c>
      <c r="P112" t="b">
        <v>0</v>
      </c>
      <c r="Q112" t="b">
        <v>0</v>
      </c>
      <c r="R112" t="s">
        <v>17</v>
      </c>
      <c r="S112" t="s">
        <v>2034</v>
      </c>
      <c r="T112" t="s">
        <v>2035</v>
      </c>
    </row>
    <row r="113" spans="1:20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1"/>
        <v>120</v>
      </c>
      <c r="G113" t="s">
        <v>20</v>
      </c>
      <c r="H113">
        <v>676</v>
      </c>
      <c r="I113" s="6"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5">
        <v>41174.208333333336</v>
      </c>
      <c r="O113" s="5">
        <v>41180.208333333336</v>
      </c>
      <c r="P113" t="b">
        <v>0</v>
      </c>
      <c r="Q113" t="b">
        <v>0</v>
      </c>
      <c r="R113" t="s">
        <v>133</v>
      </c>
      <c r="S113" t="s">
        <v>2048</v>
      </c>
      <c r="T113" t="s">
        <v>2057</v>
      </c>
    </row>
    <row r="114" spans="1:20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1"/>
        <v>269</v>
      </c>
      <c r="G114" t="s">
        <v>20</v>
      </c>
      <c r="H114">
        <v>361</v>
      </c>
      <c r="I114" s="6">
        <v>35</v>
      </c>
      <c r="J114" t="s">
        <v>26</v>
      </c>
      <c r="K114" t="s">
        <v>27</v>
      </c>
      <c r="L114">
        <v>1408856400</v>
      </c>
      <c r="M114">
        <v>1410152400</v>
      </c>
      <c r="N114" s="5">
        <v>41875.208333333336</v>
      </c>
      <c r="O114" s="5">
        <v>41890.208333333336</v>
      </c>
      <c r="P114" t="b">
        <v>0</v>
      </c>
      <c r="Q114" t="b">
        <v>0</v>
      </c>
      <c r="R114" t="s">
        <v>28</v>
      </c>
      <c r="S114" t="s">
        <v>2038</v>
      </c>
      <c r="T114" t="s">
        <v>2039</v>
      </c>
    </row>
    <row r="115" spans="1:20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1"/>
        <v>377</v>
      </c>
      <c r="G115" t="s">
        <v>20</v>
      </c>
      <c r="H115">
        <v>131</v>
      </c>
      <c r="I115" s="6"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5">
        <v>42990.208333333336</v>
      </c>
      <c r="O115" s="5">
        <v>42997.208333333336</v>
      </c>
      <c r="P115" t="b">
        <v>0</v>
      </c>
      <c r="Q115" t="b">
        <v>0</v>
      </c>
      <c r="R115" t="s">
        <v>17</v>
      </c>
      <c r="S115" t="s">
        <v>2034</v>
      </c>
      <c r="T115" t="s">
        <v>2035</v>
      </c>
    </row>
    <row r="116" spans="1:20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1"/>
        <v>727</v>
      </c>
      <c r="G116" t="s">
        <v>20</v>
      </c>
      <c r="H116">
        <v>126</v>
      </c>
      <c r="I116" s="6"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5">
        <v>43564.208333333336</v>
      </c>
      <c r="O116" s="5">
        <v>43565.208333333336</v>
      </c>
      <c r="P116" t="b">
        <v>0</v>
      </c>
      <c r="Q116" t="b">
        <v>1</v>
      </c>
      <c r="R116" t="s">
        <v>65</v>
      </c>
      <c r="S116" t="s">
        <v>2038</v>
      </c>
      <c r="T116" t="s">
        <v>2047</v>
      </c>
    </row>
    <row r="117" spans="1:20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1"/>
        <v>87</v>
      </c>
      <c r="G117" t="s">
        <v>14</v>
      </c>
      <c r="H117">
        <v>3304</v>
      </c>
      <c r="I117" s="6"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5">
        <v>43056.25</v>
      </c>
      <c r="O117" s="5">
        <v>43091.25</v>
      </c>
      <c r="P117" t="b">
        <v>0</v>
      </c>
      <c r="Q117" t="b">
        <v>0</v>
      </c>
      <c r="R117" t="s">
        <v>119</v>
      </c>
      <c r="S117" t="s">
        <v>2048</v>
      </c>
      <c r="T117" t="s">
        <v>2054</v>
      </c>
    </row>
    <row r="118" spans="1:20" ht="31.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1"/>
        <v>88</v>
      </c>
      <c r="G118" t="s">
        <v>14</v>
      </c>
      <c r="H118">
        <v>73</v>
      </c>
      <c r="I118" s="6"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5">
        <v>42265.208333333336</v>
      </c>
      <c r="O118" s="5">
        <v>42266.208333333336</v>
      </c>
      <c r="P118" t="b">
        <v>0</v>
      </c>
      <c r="Q118" t="b">
        <v>0</v>
      </c>
      <c r="R118" t="s">
        <v>33</v>
      </c>
      <c r="S118" t="s">
        <v>2040</v>
      </c>
      <c r="T118" t="s">
        <v>2041</v>
      </c>
    </row>
    <row r="119" spans="1:20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1"/>
        <v>174</v>
      </c>
      <c r="G119" t="s">
        <v>20</v>
      </c>
      <c r="H119">
        <v>275</v>
      </c>
      <c r="I119" s="6"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5">
        <v>40808.208333333336</v>
      </c>
      <c r="O119" s="5">
        <v>40814.208333333336</v>
      </c>
      <c r="P119" t="b">
        <v>0</v>
      </c>
      <c r="Q119" t="b">
        <v>0</v>
      </c>
      <c r="R119" t="s">
        <v>269</v>
      </c>
      <c r="S119" t="s">
        <v>2042</v>
      </c>
      <c r="T119" t="s">
        <v>2061</v>
      </c>
    </row>
    <row r="120" spans="1:20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1"/>
        <v>118</v>
      </c>
      <c r="G120" t="s">
        <v>20</v>
      </c>
      <c r="H120">
        <v>67</v>
      </c>
      <c r="I120" s="6"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5">
        <v>41665.25</v>
      </c>
      <c r="O120" s="5">
        <v>41671.25</v>
      </c>
      <c r="P120" t="b">
        <v>0</v>
      </c>
      <c r="Q120" t="b">
        <v>0</v>
      </c>
      <c r="R120" t="s">
        <v>122</v>
      </c>
      <c r="S120" t="s">
        <v>2055</v>
      </c>
      <c r="T120" t="s">
        <v>2056</v>
      </c>
    </row>
    <row r="121" spans="1:20" ht="31.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1"/>
        <v>215</v>
      </c>
      <c r="G121" t="s">
        <v>20</v>
      </c>
      <c r="H121">
        <v>154</v>
      </c>
      <c r="I121" s="6"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5">
        <v>41806.208333333336</v>
      </c>
      <c r="O121" s="5">
        <v>41823.208333333336</v>
      </c>
      <c r="P121" t="b">
        <v>0</v>
      </c>
      <c r="Q121" t="b">
        <v>1</v>
      </c>
      <c r="R121" t="s">
        <v>42</v>
      </c>
      <c r="S121" t="s">
        <v>2042</v>
      </c>
      <c r="T121" t="s">
        <v>2043</v>
      </c>
    </row>
    <row r="122" spans="1:20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1"/>
        <v>149</v>
      </c>
      <c r="G122" t="s">
        <v>20</v>
      </c>
      <c r="H122">
        <v>1782</v>
      </c>
      <c r="I122" s="6"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5">
        <v>42111.208333333336</v>
      </c>
      <c r="O122" s="5">
        <v>42115.208333333336</v>
      </c>
      <c r="P122" t="b">
        <v>0</v>
      </c>
      <c r="Q122" t="b">
        <v>1</v>
      </c>
      <c r="R122" t="s">
        <v>292</v>
      </c>
      <c r="S122" t="s">
        <v>2051</v>
      </c>
      <c r="T122" t="s">
        <v>2062</v>
      </c>
    </row>
    <row r="123" spans="1:20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1"/>
        <v>219</v>
      </c>
      <c r="G123" t="s">
        <v>20</v>
      </c>
      <c r="H123">
        <v>903</v>
      </c>
      <c r="I123" s="6"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5">
        <v>41917.208333333336</v>
      </c>
      <c r="O123" s="5">
        <v>41930.208333333336</v>
      </c>
      <c r="P123" t="b">
        <v>0</v>
      </c>
      <c r="Q123" t="b">
        <v>0</v>
      </c>
      <c r="R123" t="s">
        <v>89</v>
      </c>
      <c r="S123" t="s">
        <v>2051</v>
      </c>
      <c r="T123" t="s">
        <v>2052</v>
      </c>
    </row>
    <row r="124" spans="1:20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1"/>
        <v>64</v>
      </c>
      <c r="G124" t="s">
        <v>14</v>
      </c>
      <c r="H124">
        <v>3387</v>
      </c>
      <c r="I124" s="6"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5">
        <v>41970.25</v>
      </c>
      <c r="O124" s="5">
        <v>41997.25</v>
      </c>
      <c r="P124" t="b">
        <v>0</v>
      </c>
      <c r="Q124" t="b">
        <v>0</v>
      </c>
      <c r="R124" t="s">
        <v>119</v>
      </c>
      <c r="S124" t="s">
        <v>2048</v>
      </c>
      <c r="T124" t="s">
        <v>2054</v>
      </c>
    </row>
    <row r="125" spans="1:20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1"/>
        <v>19</v>
      </c>
      <c r="G125" t="s">
        <v>14</v>
      </c>
      <c r="H125">
        <v>662</v>
      </c>
      <c r="I125" s="6"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5">
        <v>42332.25</v>
      </c>
      <c r="O125" s="5">
        <v>42335.25</v>
      </c>
      <c r="P125" t="b">
        <v>1</v>
      </c>
      <c r="Q125" t="b">
        <v>0</v>
      </c>
      <c r="R125" t="s">
        <v>33</v>
      </c>
      <c r="S125" t="s">
        <v>2040</v>
      </c>
      <c r="T125" t="s">
        <v>2041</v>
      </c>
    </row>
    <row r="126" spans="1:20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1"/>
        <v>368</v>
      </c>
      <c r="G126" t="s">
        <v>20</v>
      </c>
      <c r="H126">
        <v>94</v>
      </c>
      <c r="I126" s="6"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5">
        <v>43598.208333333336</v>
      </c>
      <c r="O126" s="5">
        <v>43651.208333333336</v>
      </c>
      <c r="P126" t="b">
        <v>0</v>
      </c>
      <c r="Q126" t="b">
        <v>0</v>
      </c>
      <c r="R126" t="s">
        <v>122</v>
      </c>
      <c r="S126" t="s">
        <v>2055</v>
      </c>
      <c r="T126" t="s">
        <v>2056</v>
      </c>
    </row>
    <row r="127" spans="1:20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1"/>
        <v>160</v>
      </c>
      <c r="G127" t="s">
        <v>20</v>
      </c>
      <c r="H127">
        <v>180</v>
      </c>
      <c r="I127" s="6"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5">
        <v>43362.208333333336</v>
      </c>
      <c r="O127" s="5">
        <v>43366.208333333336</v>
      </c>
      <c r="P127" t="b">
        <v>0</v>
      </c>
      <c r="Q127" t="b">
        <v>0</v>
      </c>
      <c r="R127" t="s">
        <v>33</v>
      </c>
      <c r="S127" t="s">
        <v>2040</v>
      </c>
      <c r="T127" t="s">
        <v>2041</v>
      </c>
    </row>
    <row r="128" spans="1:20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1"/>
        <v>39</v>
      </c>
      <c r="G128" t="s">
        <v>14</v>
      </c>
      <c r="H128">
        <v>774</v>
      </c>
      <c r="I128" s="6"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5">
        <v>42596.208333333336</v>
      </c>
      <c r="O128" s="5">
        <v>42624.208333333336</v>
      </c>
      <c r="P128" t="b">
        <v>0</v>
      </c>
      <c r="Q128" t="b">
        <v>1</v>
      </c>
      <c r="R128" t="s">
        <v>33</v>
      </c>
      <c r="S128" t="s">
        <v>2040</v>
      </c>
      <c r="T128" t="s">
        <v>2041</v>
      </c>
    </row>
    <row r="129" spans="1:20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1"/>
        <v>51</v>
      </c>
      <c r="G129" t="s">
        <v>14</v>
      </c>
      <c r="H129">
        <v>672</v>
      </c>
      <c r="I129" s="6">
        <v>78.96875</v>
      </c>
      <c r="J129" t="s">
        <v>15</v>
      </c>
      <c r="K129" t="s">
        <v>16</v>
      </c>
      <c r="L129">
        <v>1273640400</v>
      </c>
      <c r="M129">
        <v>1273899600</v>
      </c>
      <c r="N129" s="5">
        <v>40310.208333333336</v>
      </c>
      <c r="O129" s="5">
        <v>40313.208333333336</v>
      </c>
      <c r="P129" t="b">
        <v>0</v>
      </c>
      <c r="Q129" t="b">
        <v>0</v>
      </c>
      <c r="R129" t="s">
        <v>33</v>
      </c>
      <c r="S129" t="s">
        <v>2040</v>
      </c>
      <c r="T129" t="s">
        <v>2041</v>
      </c>
    </row>
    <row r="130" spans="1:20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1"/>
        <v>60</v>
      </c>
      <c r="G130" t="s">
        <v>74</v>
      </c>
      <c r="H130">
        <v>532</v>
      </c>
      <c r="I130" s="6"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5">
        <v>40417.208333333336</v>
      </c>
      <c r="O130" s="5">
        <v>40430.208333333336</v>
      </c>
      <c r="P130" t="b">
        <v>0</v>
      </c>
      <c r="Q130" t="b">
        <v>0</v>
      </c>
      <c r="R130" t="s">
        <v>23</v>
      </c>
      <c r="S130" t="s">
        <v>2036</v>
      </c>
      <c r="T130" t="s">
        <v>2037</v>
      </c>
    </row>
    <row r="131" spans="1:20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si="1"/>
        <v>3</v>
      </c>
      <c r="G131" t="s">
        <v>74</v>
      </c>
      <c r="H131">
        <v>55</v>
      </c>
      <c r="I131" s="6"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5">
        <v>42038.25</v>
      </c>
      <c r="O131" s="5">
        <v>42063.25</v>
      </c>
      <c r="P131" t="b">
        <v>0</v>
      </c>
      <c r="Q131" t="b">
        <v>0</v>
      </c>
      <c r="R131" t="s">
        <v>17</v>
      </c>
      <c r="S131" t="s">
        <v>2034</v>
      </c>
      <c r="T131" t="s">
        <v>2035</v>
      </c>
    </row>
    <row r="132" spans="1:20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ref="F132:F195" si="2">ROUND(E132/D132*100,0)</f>
        <v>155</v>
      </c>
      <c r="G132" t="s">
        <v>20</v>
      </c>
      <c r="H132">
        <v>533</v>
      </c>
      <c r="I132" s="6"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5">
        <v>40842.208333333336</v>
      </c>
      <c r="O132" s="5">
        <v>40858.25</v>
      </c>
      <c r="P132" t="b">
        <v>0</v>
      </c>
      <c r="Q132" t="b">
        <v>0</v>
      </c>
      <c r="R132" t="s">
        <v>53</v>
      </c>
      <c r="S132" t="s">
        <v>2042</v>
      </c>
      <c r="T132" t="s">
        <v>2045</v>
      </c>
    </row>
    <row r="133" spans="1:20" ht="31.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2"/>
        <v>101</v>
      </c>
      <c r="G133" t="s">
        <v>20</v>
      </c>
      <c r="H133">
        <v>2443</v>
      </c>
      <c r="I133" s="6"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5">
        <v>41607.25</v>
      </c>
      <c r="O133" s="5">
        <v>41620.25</v>
      </c>
      <c r="P133" t="b">
        <v>0</v>
      </c>
      <c r="Q133" t="b">
        <v>0</v>
      </c>
      <c r="R133" t="s">
        <v>28</v>
      </c>
      <c r="S133" t="s">
        <v>2038</v>
      </c>
      <c r="T133" t="s">
        <v>2039</v>
      </c>
    </row>
    <row r="134" spans="1:20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2"/>
        <v>116</v>
      </c>
      <c r="G134" t="s">
        <v>20</v>
      </c>
      <c r="H134">
        <v>89</v>
      </c>
      <c r="I134" s="6"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5">
        <v>43112.25</v>
      </c>
      <c r="O134" s="5">
        <v>43128.25</v>
      </c>
      <c r="P134" t="b">
        <v>0</v>
      </c>
      <c r="Q134" t="b">
        <v>1</v>
      </c>
      <c r="R134" t="s">
        <v>33</v>
      </c>
      <c r="S134" t="s">
        <v>2040</v>
      </c>
      <c r="T134" t="s">
        <v>2041</v>
      </c>
    </row>
    <row r="135" spans="1:20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2"/>
        <v>311</v>
      </c>
      <c r="G135" t="s">
        <v>20</v>
      </c>
      <c r="H135">
        <v>159</v>
      </c>
      <c r="I135" s="6"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5">
        <v>40767.208333333336</v>
      </c>
      <c r="O135" s="5">
        <v>40789.208333333336</v>
      </c>
      <c r="P135" t="b">
        <v>0</v>
      </c>
      <c r="Q135" t="b">
        <v>0</v>
      </c>
      <c r="R135" t="s">
        <v>319</v>
      </c>
      <c r="S135" t="s">
        <v>2036</v>
      </c>
      <c r="T135" t="s">
        <v>2063</v>
      </c>
    </row>
    <row r="136" spans="1:20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2"/>
        <v>90</v>
      </c>
      <c r="G136" t="s">
        <v>14</v>
      </c>
      <c r="H136">
        <v>940</v>
      </c>
      <c r="I136" s="6"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5">
        <v>40713.208333333336</v>
      </c>
      <c r="O136" s="5">
        <v>40762.208333333336</v>
      </c>
      <c r="P136" t="b">
        <v>0</v>
      </c>
      <c r="Q136" t="b">
        <v>1</v>
      </c>
      <c r="R136" t="s">
        <v>42</v>
      </c>
      <c r="S136" t="s">
        <v>2042</v>
      </c>
      <c r="T136" t="s">
        <v>2043</v>
      </c>
    </row>
    <row r="137" spans="1:20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2"/>
        <v>71</v>
      </c>
      <c r="G137" t="s">
        <v>14</v>
      </c>
      <c r="H137">
        <v>117</v>
      </c>
      <c r="I137" s="6"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5">
        <v>41340.25</v>
      </c>
      <c r="O137" s="5">
        <v>41345.208333333336</v>
      </c>
      <c r="P137" t="b">
        <v>0</v>
      </c>
      <c r="Q137" t="b">
        <v>1</v>
      </c>
      <c r="R137" t="s">
        <v>33</v>
      </c>
      <c r="S137" t="s">
        <v>2040</v>
      </c>
      <c r="T137" t="s">
        <v>2041</v>
      </c>
    </row>
    <row r="138" spans="1:20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2"/>
        <v>3</v>
      </c>
      <c r="G138" t="s">
        <v>74</v>
      </c>
      <c r="H138">
        <v>58</v>
      </c>
      <c r="I138" s="6"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5">
        <v>41797.208333333336</v>
      </c>
      <c r="O138" s="5">
        <v>41809.208333333336</v>
      </c>
      <c r="P138" t="b">
        <v>0</v>
      </c>
      <c r="Q138" t="b">
        <v>1</v>
      </c>
      <c r="R138" t="s">
        <v>53</v>
      </c>
      <c r="S138" t="s">
        <v>2042</v>
      </c>
      <c r="T138" t="s">
        <v>2045</v>
      </c>
    </row>
    <row r="139" spans="1:20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2"/>
        <v>262</v>
      </c>
      <c r="G139" t="s">
        <v>20</v>
      </c>
      <c r="H139">
        <v>50</v>
      </c>
      <c r="I139" s="6">
        <v>94.24</v>
      </c>
      <c r="J139" t="s">
        <v>21</v>
      </c>
      <c r="K139" t="s">
        <v>22</v>
      </c>
      <c r="L139">
        <v>1286341200</v>
      </c>
      <c r="M139">
        <v>1286859600</v>
      </c>
      <c r="N139" s="5">
        <v>40457.208333333336</v>
      </c>
      <c r="O139" s="5">
        <v>40463.208333333336</v>
      </c>
      <c r="P139" t="b">
        <v>0</v>
      </c>
      <c r="Q139" t="b">
        <v>0</v>
      </c>
      <c r="R139" t="s">
        <v>68</v>
      </c>
      <c r="S139" t="s">
        <v>2048</v>
      </c>
      <c r="T139" t="s">
        <v>2049</v>
      </c>
    </row>
    <row r="140" spans="1:20" ht="31.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2"/>
        <v>96</v>
      </c>
      <c r="G140" t="s">
        <v>14</v>
      </c>
      <c r="H140">
        <v>115</v>
      </c>
      <c r="I140" s="6"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5">
        <v>41180.208333333336</v>
      </c>
      <c r="O140" s="5">
        <v>41186.208333333336</v>
      </c>
      <c r="P140" t="b">
        <v>0</v>
      </c>
      <c r="Q140" t="b">
        <v>0</v>
      </c>
      <c r="R140" t="s">
        <v>292</v>
      </c>
      <c r="S140" t="s">
        <v>2051</v>
      </c>
      <c r="T140" t="s">
        <v>2062</v>
      </c>
    </row>
    <row r="141" spans="1:20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2"/>
        <v>21</v>
      </c>
      <c r="G141" t="s">
        <v>14</v>
      </c>
      <c r="H141">
        <v>326</v>
      </c>
      <c r="I141" s="6"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5">
        <v>42115.208333333336</v>
      </c>
      <c r="O141" s="5">
        <v>42131.208333333336</v>
      </c>
      <c r="P141" t="b">
        <v>0</v>
      </c>
      <c r="Q141" t="b">
        <v>1</v>
      </c>
      <c r="R141" t="s">
        <v>65</v>
      </c>
      <c r="S141" t="s">
        <v>2038</v>
      </c>
      <c r="T141" t="s">
        <v>2047</v>
      </c>
    </row>
    <row r="142" spans="1:20" ht="31.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2"/>
        <v>223</v>
      </c>
      <c r="G142" t="s">
        <v>20</v>
      </c>
      <c r="H142">
        <v>186</v>
      </c>
      <c r="I142" s="6"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5">
        <v>43156.25</v>
      </c>
      <c r="O142" s="5">
        <v>43161.25</v>
      </c>
      <c r="P142" t="b">
        <v>0</v>
      </c>
      <c r="Q142" t="b">
        <v>0</v>
      </c>
      <c r="R142" t="s">
        <v>42</v>
      </c>
      <c r="S142" t="s">
        <v>2042</v>
      </c>
      <c r="T142" t="s">
        <v>2043</v>
      </c>
    </row>
    <row r="143" spans="1:20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2"/>
        <v>102</v>
      </c>
      <c r="G143" t="s">
        <v>20</v>
      </c>
      <c r="H143">
        <v>1071</v>
      </c>
      <c r="I143" s="6"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5">
        <v>42167.208333333336</v>
      </c>
      <c r="O143" s="5">
        <v>42173.208333333336</v>
      </c>
      <c r="P143" t="b">
        <v>0</v>
      </c>
      <c r="Q143" t="b">
        <v>0</v>
      </c>
      <c r="R143" t="s">
        <v>28</v>
      </c>
      <c r="S143" t="s">
        <v>2038</v>
      </c>
      <c r="T143" t="s">
        <v>2039</v>
      </c>
    </row>
    <row r="144" spans="1:20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2"/>
        <v>230</v>
      </c>
      <c r="G144" t="s">
        <v>20</v>
      </c>
      <c r="H144">
        <v>117</v>
      </c>
      <c r="I144" s="6"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5">
        <v>41005.208333333336</v>
      </c>
      <c r="O144" s="5">
        <v>41046.208333333336</v>
      </c>
      <c r="P144" t="b">
        <v>0</v>
      </c>
      <c r="Q144" t="b">
        <v>0</v>
      </c>
      <c r="R144" t="s">
        <v>28</v>
      </c>
      <c r="S144" t="s">
        <v>2038</v>
      </c>
      <c r="T144" t="s">
        <v>2039</v>
      </c>
    </row>
    <row r="145" spans="1:20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2"/>
        <v>136</v>
      </c>
      <c r="G145" t="s">
        <v>20</v>
      </c>
      <c r="H145">
        <v>70</v>
      </c>
      <c r="I145" s="6">
        <v>104.6</v>
      </c>
      <c r="J145" t="s">
        <v>21</v>
      </c>
      <c r="K145" t="s">
        <v>22</v>
      </c>
      <c r="L145">
        <v>1277701200</v>
      </c>
      <c r="M145">
        <v>1279429200</v>
      </c>
      <c r="N145" s="5">
        <v>40357.208333333336</v>
      </c>
      <c r="O145" s="5">
        <v>40377.208333333336</v>
      </c>
      <c r="P145" t="b">
        <v>0</v>
      </c>
      <c r="Q145" t="b">
        <v>0</v>
      </c>
      <c r="R145" t="s">
        <v>60</v>
      </c>
      <c r="S145" t="s">
        <v>2036</v>
      </c>
      <c r="T145" t="s">
        <v>2046</v>
      </c>
    </row>
    <row r="146" spans="1:20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2"/>
        <v>129</v>
      </c>
      <c r="G146" t="s">
        <v>20</v>
      </c>
      <c r="H146">
        <v>135</v>
      </c>
      <c r="I146" s="6"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5">
        <v>43633.208333333336</v>
      </c>
      <c r="O146" s="5">
        <v>43641.208333333336</v>
      </c>
      <c r="P146" t="b">
        <v>0</v>
      </c>
      <c r="Q146" t="b">
        <v>0</v>
      </c>
      <c r="R146" t="s">
        <v>33</v>
      </c>
      <c r="S146" t="s">
        <v>2040</v>
      </c>
      <c r="T146" t="s">
        <v>2041</v>
      </c>
    </row>
    <row r="147" spans="1:20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2"/>
        <v>237</v>
      </c>
      <c r="G147" t="s">
        <v>20</v>
      </c>
      <c r="H147">
        <v>768</v>
      </c>
      <c r="I147" s="6"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5">
        <v>41889.208333333336</v>
      </c>
      <c r="O147" s="5">
        <v>41894.208333333336</v>
      </c>
      <c r="P147" t="b">
        <v>0</v>
      </c>
      <c r="Q147" t="b">
        <v>0</v>
      </c>
      <c r="R147" t="s">
        <v>65</v>
      </c>
      <c r="S147" t="s">
        <v>2038</v>
      </c>
      <c r="T147" t="s">
        <v>2047</v>
      </c>
    </row>
    <row r="148" spans="1:20" ht="31.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2"/>
        <v>17</v>
      </c>
      <c r="G148" t="s">
        <v>74</v>
      </c>
      <c r="H148">
        <v>51</v>
      </c>
      <c r="I148" s="6"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5">
        <v>40855.25</v>
      </c>
      <c r="O148" s="5">
        <v>40875.25</v>
      </c>
      <c r="P148" t="b">
        <v>0</v>
      </c>
      <c r="Q148" t="b">
        <v>0</v>
      </c>
      <c r="R148" t="s">
        <v>33</v>
      </c>
      <c r="S148" t="s">
        <v>2040</v>
      </c>
      <c r="T148" t="s">
        <v>2041</v>
      </c>
    </row>
    <row r="149" spans="1:20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2"/>
        <v>112</v>
      </c>
      <c r="G149" t="s">
        <v>20</v>
      </c>
      <c r="H149">
        <v>199</v>
      </c>
      <c r="I149" s="6"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5">
        <v>42534.208333333336</v>
      </c>
      <c r="O149" s="5">
        <v>42540.208333333336</v>
      </c>
      <c r="P149" t="b">
        <v>0</v>
      </c>
      <c r="Q149" t="b">
        <v>1</v>
      </c>
      <c r="R149" t="s">
        <v>33</v>
      </c>
      <c r="S149" t="s">
        <v>2040</v>
      </c>
      <c r="T149" t="s">
        <v>2041</v>
      </c>
    </row>
    <row r="150" spans="1:20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2"/>
        <v>121</v>
      </c>
      <c r="G150" t="s">
        <v>20</v>
      </c>
      <c r="H150">
        <v>107</v>
      </c>
      <c r="I150" s="6"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5">
        <v>42941.208333333336</v>
      </c>
      <c r="O150" s="5">
        <v>42950.208333333336</v>
      </c>
      <c r="P150" t="b">
        <v>0</v>
      </c>
      <c r="Q150" t="b">
        <v>0</v>
      </c>
      <c r="R150" t="s">
        <v>65</v>
      </c>
      <c r="S150" t="s">
        <v>2038</v>
      </c>
      <c r="T150" t="s">
        <v>2047</v>
      </c>
    </row>
    <row r="151" spans="1:20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2"/>
        <v>220</v>
      </c>
      <c r="G151" t="s">
        <v>20</v>
      </c>
      <c r="H151">
        <v>195</v>
      </c>
      <c r="I151" s="6"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5">
        <v>41275.25</v>
      </c>
      <c r="O151" s="5">
        <v>41327.25</v>
      </c>
      <c r="P151" t="b">
        <v>0</v>
      </c>
      <c r="Q151" t="b">
        <v>0</v>
      </c>
      <c r="R151" t="s">
        <v>60</v>
      </c>
      <c r="S151" t="s">
        <v>2036</v>
      </c>
      <c r="T151" t="s">
        <v>2046</v>
      </c>
    </row>
    <row r="152" spans="1:20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2"/>
        <v>1</v>
      </c>
      <c r="G152" t="s">
        <v>14</v>
      </c>
      <c r="H152">
        <v>1</v>
      </c>
      <c r="I152" s="6">
        <v>1</v>
      </c>
      <c r="J152" t="s">
        <v>21</v>
      </c>
      <c r="K152" t="s">
        <v>22</v>
      </c>
      <c r="L152">
        <v>1544940000</v>
      </c>
      <c r="M152">
        <v>1545026400</v>
      </c>
      <c r="N152" s="5">
        <v>43450.25</v>
      </c>
      <c r="O152" s="5">
        <v>43451.25</v>
      </c>
      <c r="P152" t="b">
        <v>0</v>
      </c>
      <c r="Q152" t="b">
        <v>0</v>
      </c>
      <c r="R152" t="s">
        <v>23</v>
      </c>
      <c r="S152" t="s">
        <v>2036</v>
      </c>
      <c r="T152" t="s">
        <v>2037</v>
      </c>
    </row>
    <row r="153" spans="1:20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2"/>
        <v>64</v>
      </c>
      <c r="G153" t="s">
        <v>14</v>
      </c>
      <c r="H153">
        <v>1467</v>
      </c>
      <c r="I153" s="6"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5">
        <v>41799.208333333336</v>
      </c>
      <c r="O153" s="5">
        <v>41850.208333333336</v>
      </c>
      <c r="P153" t="b">
        <v>0</v>
      </c>
      <c r="Q153" t="b">
        <v>0</v>
      </c>
      <c r="R153" t="s">
        <v>50</v>
      </c>
      <c r="S153" t="s">
        <v>2036</v>
      </c>
      <c r="T153" t="s">
        <v>2044</v>
      </c>
    </row>
    <row r="154" spans="1:20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2"/>
        <v>423</v>
      </c>
      <c r="G154" t="s">
        <v>20</v>
      </c>
      <c r="H154">
        <v>3376</v>
      </c>
      <c r="I154" s="6"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5">
        <v>42783.25</v>
      </c>
      <c r="O154" s="5">
        <v>42790.25</v>
      </c>
      <c r="P154" t="b">
        <v>0</v>
      </c>
      <c r="Q154" t="b">
        <v>0</v>
      </c>
      <c r="R154" t="s">
        <v>60</v>
      </c>
      <c r="S154" t="s">
        <v>2036</v>
      </c>
      <c r="T154" t="s">
        <v>2046</v>
      </c>
    </row>
    <row r="155" spans="1:20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2"/>
        <v>93</v>
      </c>
      <c r="G155" t="s">
        <v>14</v>
      </c>
      <c r="H155">
        <v>5681</v>
      </c>
      <c r="I155" s="6"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5">
        <v>41201.208333333336</v>
      </c>
      <c r="O155" s="5">
        <v>41207.208333333336</v>
      </c>
      <c r="P155" t="b">
        <v>0</v>
      </c>
      <c r="Q155" t="b">
        <v>0</v>
      </c>
      <c r="R155" t="s">
        <v>33</v>
      </c>
      <c r="S155" t="s">
        <v>2040</v>
      </c>
      <c r="T155" t="s">
        <v>2041</v>
      </c>
    </row>
    <row r="156" spans="1:20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2"/>
        <v>59</v>
      </c>
      <c r="G156" t="s">
        <v>14</v>
      </c>
      <c r="H156">
        <v>1059</v>
      </c>
      <c r="I156" s="6"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5">
        <v>42502.208333333336</v>
      </c>
      <c r="O156" s="5">
        <v>42525.208333333336</v>
      </c>
      <c r="P156" t="b">
        <v>0</v>
      </c>
      <c r="Q156" t="b">
        <v>1</v>
      </c>
      <c r="R156" t="s">
        <v>60</v>
      </c>
      <c r="S156" t="s">
        <v>2036</v>
      </c>
      <c r="T156" t="s">
        <v>2046</v>
      </c>
    </row>
    <row r="157" spans="1:20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2"/>
        <v>65</v>
      </c>
      <c r="G157" t="s">
        <v>14</v>
      </c>
      <c r="H157">
        <v>1194</v>
      </c>
      <c r="I157" s="6"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5">
        <v>40262.208333333336</v>
      </c>
      <c r="O157" s="5">
        <v>40277.208333333336</v>
      </c>
      <c r="P157" t="b">
        <v>0</v>
      </c>
      <c r="Q157" t="b">
        <v>0</v>
      </c>
      <c r="R157" t="s">
        <v>33</v>
      </c>
      <c r="S157" t="s">
        <v>2040</v>
      </c>
      <c r="T157" t="s">
        <v>2041</v>
      </c>
    </row>
    <row r="158" spans="1:20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2"/>
        <v>74</v>
      </c>
      <c r="G158" t="s">
        <v>74</v>
      </c>
      <c r="H158">
        <v>379</v>
      </c>
      <c r="I158" s="6"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5">
        <v>43743.208333333336</v>
      </c>
      <c r="O158" s="5">
        <v>43767.208333333336</v>
      </c>
      <c r="P158" t="b">
        <v>0</v>
      </c>
      <c r="Q158" t="b">
        <v>0</v>
      </c>
      <c r="R158" t="s">
        <v>23</v>
      </c>
      <c r="S158" t="s">
        <v>2036</v>
      </c>
      <c r="T158" t="s">
        <v>2037</v>
      </c>
    </row>
    <row r="159" spans="1:20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2"/>
        <v>53</v>
      </c>
      <c r="G159" t="s">
        <v>14</v>
      </c>
      <c r="H159">
        <v>30</v>
      </c>
      <c r="I159" s="6"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5">
        <v>41638.25</v>
      </c>
      <c r="O159" s="5">
        <v>41650.25</v>
      </c>
      <c r="P159" t="b">
        <v>0</v>
      </c>
      <c r="Q159" t="b">
        <v>0</v>
      </c>
      <c r="R159" t="s">
        <v>122</v>
      </c>
      <c r="S159" t="s">
        <v>2055</v>
      </c>
      <c r="T159" t="s">
        <v>2056</v>
      </c>
    </row>
    <row r="160" spans="1:20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2"/>
        <v>221</v>
      </c>
      <c r="G160" t="s">
        <v>20</v>
      </c>
      <c r="H160">
        <v>41</v>
      </c>
      <c r="I160" s="6"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5">
        <v>42346.25</v>
      </c>
      <c r="O160" s="5">
        <v>42347.25</v>
      </c>
      <c r="P160" t="b">
        <v>0</v>
      </c>
      <c r="Q160" t="b">
        <v>0</v>
      </c>
      <c r="R160" t="s">
        <v>23</v>
      </c>
      <c r="S160" t="s">
        <v>2036</v>
      </c>
      <c r="T160" t="s">
        <v>2037</v>
      </c>
    </row>
    <row r="161" spans="1:20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2"/>
        <v>100</v>
      </c>
      <c r="G161" t="s">
        <v>20</v>
      </c>
      <c r="H161">
        <v>1821</v>
      </c>
      <c r="I161" s="6"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5">
        <v>43551.208333333336</v>
      </c>
      <c r="O161" s="5">
        <v>43569.208333333336</v>
      </c>
      <c r="P161" t="b">
        <v>0</v>
      </c>
      <c r="Q161" t="b">
        <v>1</v>
      </c>
      <c r="R161" t="s">
        <v>33</v>
      </c>
      <c r="S161" t="s">
        <v>2040</v>
      </c>
      <c r="T161" t="s">
        <v>2041</v>
      </c>
    </row>
    <row r="162" spans="1:20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2"/>
        <v>162</v>
      </c>
      <c r="G162" t="s">
        <v>20</v>
      </c>
      <c r="H162">
        <v>164</v>
      </c>
      <c r="I162" s="6"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5">
        <v>43582.208333333336</v>
      </c>
      <c r="O162" s="5">
        <v>43598.208333333336</v>
      </c>
      <c r="P162" t="b">
        <v>0</v>
      </c>
      <c r="Q162" t="b">
        <v>0</v>
      </c>
      <c r="R162" t="s">
        <v>65</v>
      </c>
      <c r="S162" t="s">
        <v>2038</v>
      </c>
      <c r="T162" t="s">
        <v>2047</v>
      </c>
    </row>
    <row r="163" spans="1:20" ht="31.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2"/>
        <v>78</v>
      </c>
      <c r="G163" t="s">
        <v>14</v>
      </c>
      <c r="H163">
        <v>75</v>
      </c>
      <c r="I163" s="6"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5">
        <v>42270.208333333336</v>
      </c>
      <c r="O163" s="5">
        <v>42276.208333333336</v>
      </c>
      <c r="P163" t="b">
        <v>0</v>
      </c>
      <c r="Q163" t="b">
        <v>1</v>
      </c>
      <c r="R163" t="s">
        <v>28</v>
      </c>
      <c r="S163" t="s">
        <v>2038</v>
      </c>
      <c r="T163" t="s">
        <v>2039</v>
      </c>
    </row>
    <row r="164" spans="1:20" ht="31.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2"/>
        <v>150</v>
      </c>
      <c r="G164" t="s">
        <v>20</v>
      </c>
      <c r="H164">
        <v>157</v>
      </c>
      <c r="I164" s="6"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5">
        <v>43442.25</v>
      </c>
      <c r="O164" s="5">
        <v>43472.25</v>
      </c>
      <c r="P164" t="b">
        <v>0</v>
      </c>
      <c r="Q164" t="b">
        <v>0</v>
      </c>
      <c r="R164" t="s">
        <v>23</v>
      </c>
      <c r="S164" t="s">
        <v>2036</v>
      </c>
      <c r="T164" t="s">
        <v>2037</v>
      </c>
    </row>
    <row r="165" spans="1:20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2"/>
        <v>253</v>
      </c>
      <c r="G165" t="s">
        <v>20</v>
      </c>
      <c r="H165">
        <v>246</v>
      </c>
      <c r="I165" s="6"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5">
        <v>43028.208333333336</v>
      </c>
      <c r="O165" s="5">
        <v>43077.25</v>
      </c>
      <c r="P165" t="b">
        <v>0</v>
      </c>
      <c r="Q165" t="b">
        <v>1</v>
      </c>
      <c r="R165" t="s">
        <v>122</v>
      </c>
      <c r="S165" t="s">
        <v>2055</v>
      </c>
      <c r="T165" t="s">
        <v>2056</v>
      </c>
    </row>
    <row r="166" spans="1:20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2"/>
        <v>100</v>
      </c>
      <c r="G166" t="s">
        <v>20</v>
      </c>
      <c r="H166">
        <v>1396</v>
      </c>
      <c r="I166" s="6"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5">
        <v>43016.208333333336</v>
      </c>
      <c r="O166" s="5">
        <v>43017.208333333336</v>
      </c>
      <c r="P166" t="b">
        <v>0</v>
      </c>
      <c r="Q166" t="b">
        <v>0</v>
      </c>
      <c r="R166" t="s">
        <v>33</v>
      </c>
      <c r="S166" t="s">
        <v>2040</v>
      </c>
      <c r="T166" t="s">
        <v>2041</v>
      </c>
    </row>
    <row r="167" spans="1:20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2"/>
        <v>122</v>
      </c>
      <c r="G167" t="s">
        <v>20</v>
      </c>
      <c r="H167">
        <v>2506</v>
      </c>
      <c r="I167" s="6"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5">
        <v>42948.208333333336</v>
      </c>
      <c r="O167" s="5">
        <v>42980.208333333336</v>
      </c>
      <c r="P167" t="b">
        <v>0</v>
      </c>
      <c r="Q167" t="b">
        <v>0</v>
      </c>
      <c r="R167" t="s">
        <v>28</v>
      </c>
      <c r="S167" t="s">
        <v>2038</v>
      </c>
      <c r="T167" t="s">
        <v>2039</v>
      </c>
    </row>
    <row r="168" spans="1:20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2"/>
        <v>137</v>
      </c>
      <c r="G168" t="s">
        <v>20</v>
      </c>
      <c r="H168">
        <v>244</v>
      </c>
      <c r="I168" s="6"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5">
        <v>40534.25</v>
      </c>
      <c r="O168" s="5">
        <v>40538.25</v>
      </c>
      <c r="P168" t="b">
        <v>0</v>
      </c>
      <c r="Q168" t="b">
        <v>0</v>
      </c>
      <c r="R168" t="s">
        <v>122</v>
      </c>
      <c r="S168" t="s">
        <v>2055</v>
      </c>
      <c r="T168" t="s">
        <v>2056</v>
      </c>
    </row>
    <row r="169" spans="1:20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2"/>
        <v>416</v>
      </c>
      <c r="G169" t="s">
        <v>20</v>
      </c>
      <c r="H169">
        <v>146</v>
      </c>
      <c r="I169" s="6">
        <v>74</v>
      </c>
      <c r="J169" t="s">
        <v>26</v>
      </c>
      <c r="K169" t="s">
        <v>27</v>
      </c>
      <c r="L169">
        <v>1370840400</v>
      </c>
      <c r="M169">
        <v>1371704400</v>
      </c>
      <c r="N169" s="5">
        <v>41435.208333333336</v>
      </c>
      <c r="O169" s="5">
        <v>41445.208333333336</v>
      </c>
      <c r="P169" t="b">
        <v>0</v>
      </c>
      <c r="Q169" t="b">
        <v>0</v>
      </c>
      <c r="R169" t="s">
        <v>33</v>
      </c>
      <c r="S169" t="s">
        <v>2040</v>
      </c>
      <c r="T169" t="s">
        <v>2041</v>
      </c>
    </row>
    <row r="170" spans="1:20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2"/>
        <v>31</v>
      </c>
      <c r="G170" t="s">
        <v>14</v>
      </c>
      <c r="H170">
        <v>955</v>
      </c>
      <c r="I170" s="6"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5">
        <v>43518.25</v>
      </c>
      <c r="O170" s="5">
        <v>43541.208333333336</v>
      </c>
      <c r="P170" t="b">
        <v>0</v>
      </c>
      <c r="Q170" t="b">
        <v>1</v>
      </c>
      <c r="R170" t="s">
        <v>60</v>
      </c>
      <c r="S170" t="s">
        <v>2036</v>
      </c>
      <c r="T170" t="s">
        <v>2046</v>
      </c>
    </row>
    <row r="171" spans="1:20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2"/>
        <v>424</v>
      </c>
      <c r="G171" t="s">
        <v>20</v>
      </c>
      <c r="H171">
        <v>1267</v>
      </c>
      <c r="I171" s="6"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5">
        <v>41077.208333333336</v>
      </c>
      <c r="O171" s="5">
        <v>41105.208333333336</v>
      </c>
      <c r="P171" t="b">
        <v>0</v>
      </c>
      <c r="Q171" t="b">
        <v>1</v>
      </c>
      <c r="R171" t="s">
        <v>100</v>
      </c>
      <c r="S171" t="s">
        <v>2042</v>
      </c>
      <c r="T171" t="s">
        <v>2053</v>
      </c>
    </row>
    <row r="172" spans="1:20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2"/>
        <v>3</v>
      </c>
      <c r="G172" t="s">
        <v>14</v>
      </c>
      <c r="H172">
        <v>67</v>
      </c>
      <c r="I172" s="6"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5">
        <v>42950.208333333336</v>
      </c>
      <c r="O172" s="5">
        <v>42957.208333333336</v>
      </c>
      <c r="P172" t="b">
        <v>0</v>
      </c>
      <c r="Q172" t="b">
        <v>0</v>
      </c>
      <c r="R172" t="s">
        <v>60</v>
      </c>
      <c r="S172" t="s">
        <v>2036</v>
      </c>
      <c r="T172" t="s">
        <v>2046</v>
      </c>
    </row>
    <row r="173" spans="1:20" ht="31.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2"/>
        <v>11</v>
      </c>
      <c r="G173" t="s">
        <v>14</v>
      </c>
      <c r="H173">
        <v>5</v>
      </c>
      <c r="I173" s="6">
        <v>104.2</v>
      </c>
      <c r="J173" t="s">
        <v>21</v>
      </c>
      <c r="K173" t="s">
        <v>22</v>
      </c>
      <c r="L173">
        <v>1395291600</v>
      </c>
      <c r="M173">
        <v>1397192400</v>
      </c>
      <c r="N173" s="5">
        <v>41718.208333333336</v>
      </c>
      <c r="O173" s="5">
        <v>41740.208333333336</v>
      </c>
      <c r="P173" t="b">
        <v>0</v>
      </c>
      <c r="Q173" t="b">
        <v>0</v>
      </c>
      <c r="R173" t="s">
        <v>206</v>
      </c>
      <c r="S173" t="s">
        <v>2048</v>
      </c>
      <c r="T173" t="s">
        <v>2060</v>
      </c>
    </row>
    <row r="174" spans="1:20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2"/>
        <v>83</v>
      </c>
      <c r="G174" t="s">
        <v>14</v>
      </c>
      <c r="H174">
        <v>26</v>
      </c>
      <c r="I174" s="6">
        <v>25.5</v>
      </c>
      <c r="J174" t="s">
        <v>21</v>
      </c>
      <c r="K174" t="s">
        <v>22</v>
      </c>
      <c r="L174">
        <v>1405746000</v>
      </c>
      <c r="M174">
        <v>1407042000</v>
      </c>
      <c r="N174" s="5">
        <v>41839.208333333336</v>
      </c>
      <c r="O174" s="5">
        <v>41854.208333333336</v>
      </c>
      <c r="P174" t="b">
        <v>0</v>
      </c>
      <c r="Q174" t="b">
        <v>1</v>
      </c>
      <c r="R174" t="s">
        <v>42</v>
      </c>
      <c r="S174" t="s">
        <v>2042</v>
      </c>
      <c r="T174" t="s">
        <v>2043</v>
      </c>
    </row>
    <row r="175" spans="1:20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2"/>
        <v>163</v>
      </c>
      <c r="G175" t="s">
        <v>20</v>
      </c>
      <c r="H175">
        <v>1561</v>
      </c>
      <c r="I175" s="6"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5">
        <v>41412.208333333336</v>
      </c>
      <c r="O175" s="5">
        <v>41418.208333333336</v>
      </c>
      <c r="P175" t="b">
        <v>0</v>
      </c>
      <c r="Q175" t="b">
        <v>0</v>
      </c>
      <c r="R175" t="s">
        <v>33</v>
      </c>
      <c r="S175" t="s">
        <v>2040</v>
      </c>
      <c r="T175" t="s">
        <v>2041</v>
      </c>
    </row>
    <row r="176" spans="1:20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2"/>
        <v>895</v>
      </c>
      <c r="G176" t="s">
        <v>20</v>
      </c>
      <c r="H176">
        <v>48</v>
      </c>
      <c r="I176" s="6"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5">
        <v>42282.208333333336</v>
      </c>
      <c r="O176" s="5">
        <v>42283.208333333336</v>
      </c>
      <c r="P176" t="b">
        <v>0</v>
      </c>
      <c r="Q176" t="b">
        <v>1</v>
      </c>
      <c r="R176" t="s">
        <v>65</v>
      </c>
      <c r="S176" t="s">
        <v>2038</v>
      </c>
      <c r="T176" t="s">
        <v>2047</v>
      </c>
    </row>
    <row r="177" spans="1:20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2"/>
        <v>26</v>
      </c>
      <c r="G177" t="s">
        <v>14</v>
      </c>
      <c r="H177">
        <v>1130</v>
      </c>
      <c r="I177" s="6"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5">
        <v>42613.208333333336</v>
      </c>
      <c r="O177" s="5">
        <v>42632.208333333336</v>
      </c>
      <c r="P177" t="b">
        <v>0</v>
      </c>
      <c r="Q177" t="b">
        <v>0</v>
      </c>
      <c r="R177" t="s">
        <v>33</v>
      </c>
      <c r="S177" t="s">
        <v>2040</v>
      </c>
      <c r="T177" t="s">
        <v>2041</v>
      </c>
    </row>
    <row r="178" spans="1:20" ht="31.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2"/>
        <v>75</v>
      </c>
      <c r="G178" t="s">
        <v>14</v>
      </c>
      <c r="H178">
        <v>782</v>
      </c>
      <c r="I178" s="6"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5">
        <v>42616.208333333336</v>
      </c>
      <c r="O178" s="5">
        <v>42625.208333333336</v>
      </c>
      <c r="P178" t="b">
        <v>0</v>
      </c>
      <c r="Q178" t="b">
        <v>0</v>
      </c>
      <c r="R178" t="s">
        <v>33</v>
      </c>
      <c r="S178" t="s">
        <v>2040</v>
      </c>
      <c r="T178" t="s">
        <v>2041</v>
      </c>
    </row>
    <row r="179" spans="1:20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2"/>
        <v>416</v>
      </c>
      <c r="G179" t="s">
        <v>20</v>
      </c>
      <c r="H179">
        <v>2739</v>
      </c>
      <c r="I179" s="6"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5">
        <v>40497.25</v>
      </c>
      <c r="O179" s="5">
        <v>40522.25</v>
      </c>
      <c r="P179" t="b">
        <v>0</v>
      </c>
      <c r="Q179" t="b">
        <v>0</v>
      </c>
      <c r="R179" t="s">
        <v>33</v>
      </c>
      <c r="S179" t="s">
        <v>2040</v>
      </c>
      <c r="T179" t="s">
        <v>2041</v>
      </c>
    </row>
    <row r="180" spans="1:20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2"/>
        <v>96</v>
      </c>
      <c r="G180" t="s">
        <v>14</v>
      </c>
      <c r="H180">
        <v>210</v>
      </c>
      <c r="I180" s="6"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5">
        <v>42999.208333333336</v>
      </c>
      <c r="O180" s="5">
        <v>43008.208333333336</v>
      </c>
      <c r="P180" t="b">
        <v>0</v>
      </c>
      <c r="Q180" t="b">
        <v>0</v>
      </c>
      <c r="R180" t="s">
        <v>17</v>
      </c>
      <c r="S180" t="s">
        <v>2034</v>
      </c>
      <c r="T180" t="s">
        <v>2035</v>
      </c>
    </row>
    <row r="181" spans="1:20" ht="31.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2"/>
        <v>358</v>
      </c>
      <c r="G181" t="s">
        <v>20</v>
      </c>
      <c r="H181">
        <v>3537</v>
      </c>
      <c r="I181" s="6"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5">
        <v>41350.208333333336</v>
      </c>
      <c r="O181" s="5">
        <v>41351.208333333336</v>
      </c>
      <c r="P181" t="b">
        <v>0</v>
      </c>
      <c r="Q181" t="b">
        <v>1</v>
      </c>
      <c r="R181" t="s">
        <v>33</v>
      </c>
      <c r="S181" t="s">
        <v>2040</v>
      </c>
      <c r="T181" t="s">
        <v>2041</v>
      </c>
    </row>
    <row r="182" spans="1:20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2"/>
        <v>308</v>
      </c>
      <c r="G182" t="s">
        <v>20</v>
      </c>
      <c r="H182">
        <v>2107</v>
      </c>
      <c r="I182" s="6"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5">
        <v>40259.208333333336</v>
      </c>
      <c r="O182" s="5">
        <v>40264.208333333336</v>
      </c>
      <c r="P182" t="b">
        <v>0</v>
      </c>
      <c r="Q182" t="b">
        <v>0</v>
      </c>
      <c r="R182" t="s">
        <v>65</v>
      </c>
      <c r="S182" t="s">
        <v>2038</v>
      </c>
      <c r="T182" t="s">
        <v>2047</v>
      </c>
    </row>
    <row r="183" spans="1:20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2"/>
        <v>62</v>
      </c>
      <c r="G183" t="s">
        <v>14</v>
      </c>
      <c r="H183">
        <v>136</v>
      </c>
      <c r="I183" s="6"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5">
        <v>43012.208333333336</v>
      </c>
      <c r="O183" s="5">
        <v>43030.208333333336</v>
      </c>
      <c r="P183" t="b">
        <v>0</v>
      </c>
      <c r="Q183" t="b">
        <v>0</v>
      </c>
      <c r="R183" t="s">
        <v>28</v>
      </c>
      <c r="S183" t="s">
        <v>2038</v>
      </c>
      <c r="T183" t="s">
        <v>2039</v>
      </c>
    </row>
    <row r="184" spans="1:20" ht="31.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2"/>
        <v>722</v>
      </c>
      <c r="G184" t="s">
        <v>20</v>
      </c>
      <c r="H184">
        <v>3318</v>
      </c>
      <c r="I184" s="6"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5">
        <v>43631.208333333336</v>
      </c>
      <c r="O184" s="5">
        <v>43647.208333333336</v>
      </c>
      <c r="P184" t="b">
        <v>0</v>
      </c>
      <c r="Q184" t="b">
        <v>0</v>
      </c>
      <c r="R184" t="s">
        <v>33</v>
      </c>
      <c r="S184" t="s">
        <v>2040</v>
      </c>
      <c r="T184" t="s">
        <v>2041</v>
      </c>
    </row>
    <row r="185" spans="1:20" ht="31.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2"/>
        <v>69</v>
      </c>
      <c r="G185" t="s">
        <v>14</v>
      </c>
      <c r="H185">
        <v>86</v>
      </c>
      <c r="I185" s="6"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5">
        <v>40430.208333333336</v>
      </c>
      <c r="O185" s="5">
        <v>40443.208333333336</v>
      </c>
      <c r="P185" t="b">
        <v>0</v>
      </c>
      <c r="Q185" t="b">
        <v>0</v>
      </c>
      <c r="R185" t="s">
        <v>23</v>
      </c>
      <c r="S185" t="s">
        <v>2036</v>
      </c>
      <c r="T185" t="s">
        <v>2037</v>
      </c>
    </row>
    <row r="186" spans="1:20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2"/>
        <v>293</v>
      </c>
      <c r="G186" t="s">
        <v>20</v>
      </c>
      <c r="H186">
        <v>340</v>
      </c>
      <c r="I186" s="6"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5">
        <v>43588.208333333336</v>
      </c>
      <c r="O186" s="5">
        <v>43589.208333333336</v>
      </c>
      <c r="P186" t="b">
        <v>0</v>
      </c>
      <c r="Q186" t="b">
        <v>0</v>
      </c>
      <c r="R186" t="s">
        <v>33</v>
      </c>
      <c r="S186" t="s">
        <v>2040</v>
      </c>
      <c r="T186" t="s">
        <v>2041</v>
      </c>
    </row>
    <row r="187" spans="1:20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2"/>
        <v>72</v>
      </c>
      <c r="G187" t="s">
        <v>14</v>
      </c>
      <c r="H187">
        <v>19</v>
      </c>
      <c r="I187" s="6"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5">
        <v>43233.208333333336</v>
      </c>
      <c r="O187" s="5">
        <v>43244.208333333336</v>
      </c>
      <c r="P187" t="b">
        <v>0</v>
      </c>
      <c r="Q187" t="b">
        <v>0</v>
      </c>
      <c r="R187" t="s">
        <v>269</v>
      </c>
      <c r="S187" t="s">
        <v>2042</v>
      </c>
      <c r="T187" t="s">
        <v>2061</v>
      </c>
    </row>
    <row r="188" spans="1:20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2"/>
        <v>32</v>
      </c>
      <c r="G188" t="s">
        <v>14</v>
      </c>
      <c r="H188">
        <v>886</v>
      </c>
      <c r="I188" s="6"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5">
        <v>41782.208333333336</v>
      </c>
      <c r="O188" s="5">
        <v>41797.208333333336</v>
      </c>
      <c r="P188" t="b">
        <v>0</v>
      </c>
      <c r="Q188" t="b">
        <v>0</v>
      </c>
      <c r="R188" t="s">
        <v>33</v>
      </c>
      <c r="S188" t="s">
        <v>2040</v>
      </c>
      <c r="T188" t="s">
        <v>2041</v>
      </c>
    </row>
    <row r="189" spans="1:20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2"/>
        <v>230</v>
      </c>
      <c r="G189" t="s">
        <v>20</v>
      </c>
      <c r="H189">
        <v>1442</v>
      </c>
      <c r="I189" s="6"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5">
        <v>41328.25</v>
      </c>
      <c r="O189" s="5">
        <v>41356.208333333336</v>
      </c>
      <c r="P189" t="b">
        <v>0</v>
      </c>
      <c r="Q189" t="b">
        <v>1</v>
      </c>
      <c r="R189" t="s">
        <v>100</v>
      </c>
      <c r="S189" t="s">
        <v>2042</v>
      </c>
      <c r="T189" t="s">
        <v>2053</v>
      </c>
    </row>
    <row r="190" spans="1:20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2"/>
        <v>32</v>
      </c>
      <c r="G190" t="s">
        <v>14</v>
      </c>
      <c r="H190">
        <v>35</v>
      </c>
      <c r="I190" s="6">
        <v>75</v>
      </c>
      <c r="J190" t="s">
        <v>107</v>
      </c>
      <c r="K190" t="s">
        <v>108</v>
      </c>
      <c r="L190">
        <v>1417500000</v>
      </c>
      <c r="M190">
        <v>1417586400</v>
      </c>
      <c r="N190" s="5">
        <v>41975.25</v>
      </c>
      <c r="O190" s="5">
        <v>41976.25</v>
      </c>
      <c r="P190" t="b">
        <v>0</v>
      </c>
      <c r="Q190" t="b">
        <v>0</v>
      </c>
      <c r="R190" t="s">
        <v>33</v>
      </c>
      <c r="S190" t="s">
        <v>2040</v>
      </c>
      <c r="T190" t="s">
        <v>2041</v>
      </c>
    </row>
    <row r="191" spans="1:20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2"/>
        <v>24</v>
      </c>
      <c r="G191" t="s">
        <v>74</v>
      </c>
      <c r="H191">
        <v>441</v>
      </c>
      <c r="I191" s="6"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5">
        <v>42433.25</v>
      </c>
      <c r="O191" s="5">
        <v>42433.25</v>
      </c>
      <c r="P191" t="b">
        <v>0</v>
      </c>
      <c r="Q191" t="b">
        <v>0</v>
      </c>
      <c r="R191" t="s">
        <v>33</v>
      </c>
      <c r="S191" t="s">
        <v>2040</v>
      </c>
      <c r="T191" t="s">
        <v>2041</v>
      </c>
    </row>
    <row r="192" spans="1:20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2"/>
        <v>69</v>
      </c>
      <c r="G192" t="s">
        <v>14</v>
      </c>
      <c r="H192">
        <v>24</v>
      </c>
      <c r="I192" s="6">
        <v>105.75</v>
      </c>
      <c r="J192" t="s">
        <v>21</v>
      </c>
      <c r="K192" t="s">
        <v>22</v>
      </c>
      <c r="L192">
        <v>1370322000</v>
      </c>
      <c r="M192">
        <v>1370408400</v>
      </c>
      <c r="N192" s="5">
        <v>41429.208333333336</v>
      </c>
      <c r="O192" s="5">
        <v>41430.208333333336</v>
      </c>
      <c r="P192" t="b">
        <v>0</v>
      </c>
      <c r="Q192" t="b">
        <v>1</v>
      </c>
      <c r="R192" t="s">
        <v>33</v>
      </c>
      <c r="S192" t="s">
        <v>2040</v>
      </c>
      <c r="T192" t="s">
        <v>2041</v>
      </c>
    </row>
    <row r="193" spans="1:20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2"/>
        <v>38</v>
      </c>
      <c r="G193" t="s">
        <v>14</v>
      </c>
      <c r="H193">
        <v>86</v>
      </c>
      <c r="I193" s="6"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5">
        <v>43536.208333333336</v>
      </c>
      <c r="O193" s="5">
        <v>43539.208333333336</v>
      </c>
      <c r="P193" t="b">
        <v>0</v>
      </c>
      <c r="Q193" t="b">
        <v>0</v>
      </c>
      <c r="R193" t="s">
        <v>33</v>
      </c>
      <c r="S193" t="s">
        <v>2040</v>
      </c>
      <c r="T193" t="s">
        <v>2041</v>
      </c>
    </row>
    <row r="194" spans="1:20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2"/>
        <v>20</v>
      </c>
      <c r="G194" t="s">
        <v>14</v>
      </c>
      <c r="H194">
        <v>243</v>
      </c>
      <c r="I194" s="6"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5">
        <v>41817.208333333336</v>
      </c>
      <c r="O194" s="5">
        <v>41821.208333333336</v>
      </c>
      <c r="P194" t="b">
        <v>0</v>
      </c>
      <c r="Q194" t="b">
        <v>0</v>
      </c>
      <c r="R194" t="s">
        <v>23</v>
      </c>
      <c r="S194" t="s">
        <v>2036</v>
      </c>
      <c r="T194" t="s">
        <v>2037</v>
      </c>
    </row>
    <row r="195" spans="1:20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si="2"/>
        <v>46</v>
      </c>
      <c r="G195" t="s">
        <v>14</v>
      </c>
      <c r="H195">
        <v>65</v>
      </c>
      <c r="I195" s="6"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5">
        <v>43198.208333333336</v>
      </c>
      <c r="O195" s="5">
        <v>43202.208333333336</v>
      </c>
      <c r="P195" t="b">
        <v>1</v>
      </c>
      <c r="Q195" t="b">
        <v>0</v>
      </c>
      <c r="R195" t="s">
        <v>60</v>
      </c>
      <c r="S195" t="s">
        <v>2036</v>
      </c>
      <c r="T195" t="s">
        <v>2046</v>
      </c>
    </row>
    <row r="196" spans="1:20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ref="F196:F259" si="3">ROUND(E196/D196*100,0)</f>
        <v>123</v>
      </c>
      <c r="G196" t="s">
        <v>20</v>
      </c>
      <c r="H196">
        <v>126</v>
      </c>
      <c r="I196" s="6"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5">
        <v>42261.208333333336</v>
      </c>
      <c r="O196" s="5">
        <v>42277.208333333336</v>
      </c>
      <c r="P196" t="b">
        <v>0</v>
      </c>
      <c r="Q196" t="b">
        <v>0</v>
      </c>
      <c r="R196" t="s">
        <v>148</v>
      </c>
      <c r="S196" t="s">
        <v>2036</v>
      </c>
      <c r="T196" t="s">
        <v>2058</v>
      </c>
    </row>
    <row r="197" spans="1:20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3"/>
        <v>362</v>
      </c>
      <c r="G197" t="s">
        <v>20</v>
      </c>
      <c r="H197">
        <v>524</v>
      </c>
      <c r="I197" s="6"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5">
        <v>43310.208333333336</v>
      </c>
      <c r="O197" s="5">
        <v>43317.208333333336</v>
      </c>
      <c r="P197" t="b">
        <v>0</v>
      </c>
      <c r="Q197" t="b">
        <v>0</v>
      </c>
      <c r="R197" t="s">
        <v>50</v>
      </c>
      <c r="S197" t="s">
        <v>2036</v>
      </c>
      <c r="T197" t="s">
        <v>2044</v>
      </c>
    </row>
    <row r="198" spans="1:20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3"/>
        <v>63</v>
      </c>
      <c r="G198" t="s">
        <v>14</v>
      </c>
      <c r="H198">
        <v>100</v>
      </c>
      <c r="I198" s="6">
        <v>51.78</v>
      </c>
      <c r="J198" t="s">
        <v>36</v>
      </c>
      <c r="K198" t="s">
        <v>37</v>
      </c>
      <c r="L198">
        <v>1472878800</v>
      </c>
      <c r="M198">
        <v>1474520400</v>
      </c>
      <c r="N198" s="5">
        <v>42616.208333333336</v>
      </c>
      <c r="O198" s="5">
        <v>42635.208333333336</v>
      </c>
      <c r="P198" t="b">
        <v>0</v>
      </c>
      <c r="Q198" t="b">
        <v>0</v>
      </c>
      <c r="R198" t="s">
        <v>65</v>
      </c>
      <c r="S198" t="s">
        <v>2038</v>
      </c>
      <c r="T198" t="s">
        <v>2047</v>
      </c>
    </row>
    <row r="199" spans="1:20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3"/>
        <v>298</v>
      </c>
      <c r="G199" t="s">
        <v>20</v>
      </c>
      <c r="H199">
        <v>1989</v>
      </c>
      <c r="I199" s="6"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5">
        <v>42909.208333333336</v>
      </c>
      <c r="O199" s="5">
        <v>42923.208333333336</v>
      </c>
      <c r="P199" t="b">
        <v>0</v>
      </c>
      <c r="Q199" t="b">
        <v>0</v>
      </c>
      <c r="R199" t="s">
        <v>53</v>
      </c>
      <c r="S199" t="s">
        <v>2042</v>
      </c>
      <c r="T199" t="s">
        <v>2045</v>
      </c>
    </row>
    <row r="200" spans="1:20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3"/>
        <v>10</v>
      </c>
      <c r="G200" t="s">
        <v>14</v>
      </c>
      <c r="H200">
        <v>168</v>
      </c>
      <c r="I200" s="6"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5">
        <v>40396.208333333336</v>
      </c>
      <c r="O200" s="5">
        <v>40425.208333333336</v>
      </c>
      <c r="P200" t="b">
        <v>0</v>
      </c>
      <c r="Q200" t="b">
        <v>0</v>
      </c>
      <c r="R200" t="s">
        <v>50</v>
      </c>
      <c r="S200" t="s">
        <v>2036</v>
      </c>
      <c r="T200" t="s">
        <v>2044</v>
      </c>
    </row>
    <row r="201" spans="1:20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3"/>
        <v>54</v>
      </c>
      <c r="G201" t="s">
        <v>14</v>
      </c>
      <c r="H201">
        <v>13</v>
      </c>
      <c r="I201" s="6"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5">
        <v>42192.208333333336</v>
      </c>
      <c r="O201" s="5">
        <v>42196.208333333336</v>
      </c>
      <c r="P201" t="b">
        <v>0</v>
      </c>
      <c r="Q201" t="b">
        <v>0</v>
      </c>
      <c r="R201" t="s">
        <v>23</v>
      </c>
      <c r="S201" t="s">
        <v>2036</v>
      </c>
      <c r="T201" t="s">
        <v>2037</v>
      </c>
    </row>
    <row r="202" spans="1:20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3"/>
        <v>2</v>
      </c>
      <c r="G202" t="s">
        <v>14</v>
      </c>
      <c r="H202">
        <v>1</v>
      </c>
      <c r="I202" s="6">
        <v>2</v>
      </c>
      <c r="J202" t="s">
        <v>15</v>
      </c>
      <c r="K202" t="s">
        <v>16</v>
      </c>
      <c r="L202">
        <v>1269493200</v>
      </c>
      <c r="M202">
        <v>1270443600</v>
      </c>
      <c r="N202" s="5">
        <v>40262.208333333336</v>
      </c>
      <c r="O202" s="5">
        <v>40273.208333333336</v>
      </c>
      <c r="P202" t="b">
        <v>0</v>
      </c>
      <c r="Q202" t="b">
        <v>0</v>
      </c>
      <c r="R202" t="s">
        <v>33</v>
      </c>
      <c r="S202" t="s">
        <v>2040</v>
      </c>
      <c r="T202" t="s">
        <v>2041</v>
      </c>
    </row>
    <row r="203" spans="1:20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3"/>
        <v>681</v>
      </c>
      <c r="G203" t="s">
        <v>20</v>
      </c>
      <c r="H203">
        <v>157</v>
      </c>
      <c r="I203" s="6"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5">
        <v>41845.208333333336</v>
      </c>
      <c r="O203" s="5">
        <v>41863.208333333336</v>
      </c>
      <c r="P203" t="b">
        <v>0</v>
      </c>
      <c r="Q203" t="b">
        <v>0</v>
      </c>
      <c r="R203" t="s">
        <v>28</v>
      </c>
      <c r="S203" t="s">
        <v>2038</v>
      </c>
      <c r="T203" t="s">
        <v>2039</v>
      </c>
    </row>
    <row r="204" spans="1:20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3"/>
        <v>79</v>
      </c>
      <c r="G204" t="s">
        <v>74</v>
      </c>
      <c r="H204">
        <v>82</v>
      </c>
      <c r="I204" s="6"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5">
        <v>40818.208333333336</v>
      </c>
      <c r="O204" s="5">
        <v>40822.208333333336</v>
      </c>
      <c r="P204" t="b">
        <v>0</v>
      </c>
      <c r="Q204" t="b">
        <v>0</v>
      </c>
      <c r="R204" t="s">
        <v>17</v>
      </c>
      <c r="S204" t="s">
        <v>2034</v>
      </c>
      <c r="T204" t="s">
        <v>2035</v>
      </c>
    </row>
    <row r="205" spans="1:20" ht="31.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3"/>
        <v>134</v>
      </c>
      <c r="G205" t="s">
        <v>20</v>
      </c>
      <c r="H205">
        <v>4498</v>
      </c>
      <c r="I205" s="6"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5">
        <v>42752.25</v>
      </c>
      <c r="O205" s="5">
        <v>42754.25</v>
      </c>
      <c r="P205" t="b">
        <v>0</v>
      </c>
      <c r="Q205" t="b">
        <v>0</v>
      </c>
      <c r="R205" t="s">
        <v>33</v>
      </c>
      <c r="S205" t="s">
        <v>2040</v>
      </c>
      <c r="T205" t="s">
        <v>2041</v>
      </c>
    </row>
    <row r="206" spans="1:20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3"/>
        <v>3</v>
      </c>
      <c r="G206" t="s">
        <v>14</v>
      </c>
      <c r="H206">
        <v>40</v>
      </c>
      <c r="I206" s="6"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5">
        <v>40636.208333333336</v>
      </c>
      <c r="O206" s="5">
        <v>40646.208333333336</v>
      </c>
      <c r="P206" t="b">
        <v>0</v>
      </c>
      <c r="Q206" t="b">
        <v>0</v>
      </c>
      <c r="R206" t="s">
        <v>159</v>
      </c>
      <c r="S206" t="s">
        <v>2036</v>
      </c>
      <c r="T206" t="s">
        <v>2059</v>
      </c>
    </row>
    <row r="207" spans="1:20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3"/>
        <v>432</v>
      </c>
      <c r="G207" t="s">
        <v>20</v>
      </c>
      <c r="H207">
        <v>80</v>
      </c>
      <c r="I207" s="6"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5">
        <v>43390.208333333336</v>
      </c>
      <c r="O207" s="5">
        <v>43402.208333333336</v>
      </c>
      <c r="P207" t="b">
        <v>1</v>
      </c>
      <c r="Q207" t="b">
        <v>0</v>
      </c>
      <c r="R207" t="s">
        <v>33</v>
      </c>
      <c r="S207" t="s">
        <v>2040</v>
      </c>
      <c r="T207" t="s">
        <v>2041</v>
      </c>
    </row>
    <row r="208" spans="1:20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3"/>
        <v>39</v>
      </c>
      <c r="G208" t="s">
        <v>74</v>
      </c>
      <c r="H208">
        <v>57</v>
      </c>
      <c r="I208" s="6"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5">
        <v>40236.25</v>
      </c>
      <c r="O208" s="5">
        <v>40245.25</v>
      </c>
      <c r="P208" t="b">
        <v>0</v>
      </c>
      <c r="Q208" t="b">
        <v>0</v>
      </c>
      <c r="R208" t="s">
        <v>119</v>
      </c>
      <c r="S208" t="s">
        <v>2048</v>
      </c>
      <c r="T208" t="s">
        <v>2054</v>
      </c>
    </row>
    <row r="209" spans="1:20" ht="31.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3"/>
        <v>426</v>
      </c>
      <c r="G209" t="s">
        <v>20</v>
      </c>
      <c r="H209">
        <v>43</v>
      </c>
      <c r="I209" s="6">
        <v>99</v>
      </c>
      <c r="J209" t="s">
        <v>21</v>
      </c>
      <c r="K209" t="s">
        <v>22</v>
      </c>
      <c r="L209">
        <v>1535432400</v>
      </c>
      <c r="M209">
        <v>1537160400</v>
      </c>
      <c r="N209" s="5">
        <v>43340.208333333336</v>
      </c>
      <c r="O209" s="5">
        <v>43360.208333333336</v>
      </c>
      <c r="P209" t="b">
        <v>0</v>
      </c>
      <c r="Q209" t="b">
        <v>1</v>
      </c>
      <c r="R209" t="s">
        <v>23</v>
      </c>
      <c r="S209" t="s">
        <v>2036</v>
      </c>
      <c r="T209" t="s">
        <v>2037</v>
      </c>
    </row>
    <row r="210" spans="1:20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3"/>
        <v>101</v>
      </c>
      <c r="G210" t="s">
        <v>20</v>
      </c>
      <c r="H210">
        <v>2053</v>
      </c>
      <c r="I210" s="6"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5">
        <v>43048.25</v>
      </c>
      <c r="O210" s="5">
        <v>43072.25</v>
      </c>
      <c r="P210" t="b">
        <v>0</v>
      </c>
      <c r="Q210" t="b">
        <v>0</v>
      </c>
      <c r="R210" t="s">
        <v>42</v>
      </c>
      <c r="S210" t="s">
        <v>2042</v>
      </c>
      <c r="T210" t="s">
        <v>2043</v>
      </c>
    </row>
    <row r="211" spans="1:20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3"/>
        <v>21</v>
      </c>
      <c r="G211" t="s">
        <v>47</v>
      </c>
      <c r="H211">
        <v>808</v>
      </c>
      <c r="I211" s="6"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5">
        <v>42496.208333333336</v>
      </c>
      <c r="O211" s="5">
        <v>42503.208333333336</v>
      </c>
      <c r="P211" t="b">
        <v>0</v>
      </c>
      <c r="Q211" t="b">
        <v>0</v>
      </c>
      <c r="R211" t="s">
        <v>42</v>
      </c>
      <c r="S211" t="s">
        <v>2042</v>
      </c>
      <c r="T211" t="s">
        <v>2043</v>
      </c>
    </row>
    <row r="212" spans="1:20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3"/>
        <v>67</v>
      </c>
      <c r="G212" t="s">
        <v>14</v>
      </c>
      <c r="H212">
        <v>226</v>
      </c>
      <c r="I212" s="6"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5">
        <v>42797.25</v>
      </c>
      <c r="O212" s="5">
        <v>42824.208333333336</v>
      </c>
      <c r="P212" t="b">
        <v>0</v>
      </c>
      <c r="Q212" t="b">
        <v>0</v>
      </c>
      <c r="R212" t="s">
        <v>474</v>
      </c>
      <c r="S212" t="s">
        <v>2042</v>
      </c>
      <c r="T212" t="s">
        <v>2064</v>
      </c>
    </row>
    <row r="213" spans="1:20" ht="31.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3"/>
        <v>95</v>
      </c>
      <c r="G213" t="s">
        <v>14</v>
      </c>
      <c r="H213">
        <v>1625</v>
      </c>
      <c r="I213" s="6"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5">
        <v>41513.208333333336</v>
      </c>
      <c r="O213" s="5">
        <v>41537.208333333336</v>
      </c>
      <c r="P213" t="b">
        <v>0</v>
      </c>
      <c r="Q213" t="b">
        <v>0</v>
      </c>
      <c r="R213" t="s">
        <v>33</v>
      </c>
      <c r="S213" t="s">
        <v>2040</v>
      </c>
      <c r="T213" t="s">
        <v>2041</v>
      </c>
    </row>
    <row r="214" spans="1:20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3"/>
        <v>152</v>
      </c>
      <c r="G214" t="s">
        <v>20</v>
      </c>
      <c r="H214">
        <v>168</v>
      </c>
      <c r="I214" s="6"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5">
        <v>43814.25</v>
      </c>
      <c r="O214" s="5">
        <v>43860.25</v>
      </c>
      <c r="P214" t="b">
        <v>0</v>
      </c>
      <c r="Q214" t="b">
        <v>0</v>
      </c>
      <c r="R214" t="s">
        <v>33</v>
      </c>
      <c r="S214" t="s">
        <v>2040</v>
      </c>
      <c r="T214" t="s">
        <v>2041</v>
      </c>
    </row>
    <row r="215" spans="1:20" ht="31.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3"/>
        <v>195</v>
      </c>
      <c r="G215" t="s">
        <v>20</v>
      </c>
      <c r="H215">
        <v>4289</v>
      </c>
      <c r="I215" s="6"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5">
        <v>40488.208333333336</v>
      </c>
      <c r="O215" s="5">
        <v>40496.25</v>
      </c>
      <c r="P215" t="b">
        <v>0</v>
      </c>
      <c r="Q215" t="b">
        <v>1</v>
      </c>
      <c r="R215" t="s">
        <v>60</v>
      </c>
      <c r="S215" t="s">
        <v>2036</v>
      </c>
      <c r="T215" t="s">
        <v>2046</v>
      </c>
    </row>
    <row r="216" spans="1:20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3"/>
        <v>1023</v>
      </c>
      <c r="G216" t="s">
        <v>20</v>
      </c>
      <c r="H216">
        <v>165</v>
      </c>
      <c r="I216" s="6"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5">
        <v>40409.208333333336</v>
      </c>
      <c r="O216" s="5">
        <v>40415.208333333336</v>
      </c>
      <c r="P216" t="b">
        <v>0</v>
      </c>
      <c r="Q216" t="b">
        <v>0</v>
      </c>
      <c r="R216" t="s">
        <v>23</v>
      </c>
      <c r="S216" t="s">
        <v>2036</v>
      </c>
      <c r="T216" t="s">
        <v>2037</v>
      </c>
    </row>
    <row r="217" spans="1:20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3"/>
        <v>4</v>
      </c>
      <c r="G217" t="s">
        <v>14</v>
      </c>
      <c r="H217">
        <v>143</v>
      </c>
      <c r="I217" s="6"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5">
        <v>43509.25</v>
      </c>
      <c r="O217" s="5">
        <v>43511.25</v>
      </c>
      <c r="P217" t="b">
        <v>0</v>
      </c>
      <c r="Q217" t="b">
        <v>0</v>
      </c>
      <c r="R217" t="s">
        <v>33</v>
      </c>
      <c r="S217" t="s">
        <v>2040</v>
      </c>
      <c r="T217" t="s">
        <v>2041</v>
      </c>
    </row>
    <row r="218" spans="1:20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3"/>
        <v>155</v>
      </c>
      <c r="G218" t="s">
        <v>20</v>
      </c>
      <c r="H218">
        <v>1815</v>
      </c>
      <c r="I218" s="6"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5">
        <v>40869.25</v>
      </c>
      <c r="O218" s="5">
        <v>40871.25</v>
      </c>
      <c r="P218" t="b">
        <v>0</v>
      </c>
      <c r="Q218" t="b">
        <v>0</v>
      </c>
      <c r="R218" t="s">
        <v>33</v>
      </c>
      <c r="S218" t="s">
        <v>2040</v>
      </c>
      <c r="T218" t="s">
        <v>2041</v>
      </c>
    </row>
    <row r="219" spans="1:20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3"/>
        <v>45</v>
      </c>
      <c r="G219" t="s">
        <v>14</v>
      </c>
      <c r="H219">
        <v>934</v>
      </c>
      <c r="I219" s="6"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5">
        <v>43583.208333333336</v>
      </c>
      <c r="O219" s="5">
        <v>43592.208333333336</v>
      </c>
      <c r="P219" t="b">
        <v>0</v>
      </c>
      <c r="Q219" t="b">
        <v>0</v>
      </c>
      <c r="R219" t="s">
        <v>474</v>
      </c>
      <c r="S219" t="s">
        <v>2042</v>
      </c>
      <c r="T219" t="s">
        <v>2064</v>
      </c>
    </row>
    <row r="220" spans="1:20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3"/>
        <v>216</v>
      </c>
      <c r="G220" t="s">
        <v>20</v>
      </c>
      <c r="H220">
        <v>397</v>
      </c>
      <c r="I220" s="6"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5">
        <v>40858.25</v>
      </c>
      <c r="O220" s="5">
        <v>40892.25</v>
      </c>
      <c r="P220" t="b">
        <v>0</v>
      </c>
      <c r="Q220" t="b">
        <v>1</v>
      </c>
      <c r="R220" t="s">
        <v>100</v>
      </c>
      <c r="S220" t="s">
        <v>2042</v>
      </c>
      <c r="T220" t="s">
        <v>2053</v>
      </c>
    </row>
    <row r="221" spans="1:20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3"/>
        <v>332</v>
      </c>
      <c r="G221" t="s">
        <v>20</v>
      </c>
      <c r="H221">
        <v>1539</v>
      </c>
      <c r="I221" s="6"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5">
        <v>41137.208333333336</v>
      </c>
      <c r="O221" s="5">
        <v>41149.208333333336</v>
      </c>
      <c r="P221" t="b">
        <v>0</v>
      </c>
      <c r="Q221" t="b">
        <v>0</v>
      </c>
      <c r="R221" t="s">
        <v>71</v>
      </c>
      <c r="S221" t="s">
        <v>2042</v>
      </c>
      <c r="T221" t="s">
        <v>2050</v>
      </c>
    </row>
    <row r="222" spans="1:20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3"/>
        <v>8</v>
      </c>
      <c r="G222" t="s">
        <v>14</v>
      </c>
      <c r="H222">
        <v>17</v>
      </c>
      <c r="I222" s="6"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5">
        <v>40725.208333333336</v>
      </c>
      <c r="O222" s="5">
        <v>40743.208333333336</v>
      </c>
      <c r="P222" t="b">
        <v>1</v>
      </c>
      <c r="Q222" t="b">
        <v>0</v>
      </c>
      <c r="R222" t="s">
        <v>33</v>
      </c>
      <c r="S222" t="s">
        <v>2040</v>
      </c>
      <c r="T222" t="s">
        <v>2041</v>
      </c>
    </row>
    <row r="223" spans="1:20" ht="31.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3"/>
        <v>99</v>
      </c>
      <c r="G223" t="s">
        <v>14</v>
      </c>
      <c r="H223">
        <v>2179</v>
      </c>
      <c r="I223" s="6"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5">
        <v>41081.208333333336</v>
      </c>
      <c r="O223" s="5">
        <v>41083.208333333336</v>
      </c>
      <c r="P223" t="b">
        <v>1</v>
      </c>
      <c r="Q223" t="b">
        <v>0</v>
      </c>
      <c r="R223" t="s">
        <v>17</v>
      </c>
      <c r="S223" t="s">
        <v>2034</v>
      </c>
      <c r="T223" t="s">
        <v>2035</v>
      </c>
    </row>
    <row r="224" spans="1:20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3"/>
        <v>138</v>
      </c>
      <c r="G224" t="s">
        <v>20</v>
      </c>
      <c r="H224">
        <v>138</v>
      </c>
      <c r="I224" s="6"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5">
        <v>41914.208333333336</v>
      </c>
      <c r="O224" s="5">
        <v>41915.208333333336</v>
      </c>
      <c r="P224" t="b">
        <v>0</v>
      </c>
      <c r="Q224" t="b">
        <v>0</v>
      </c>
      <c r="R224" t="s">
        <v>122</v>
      </c>
      <c r="S224" t="s">
        <v>2055</v>
      </c>
      <c r="T224" t="s">
        <v>2056</v>
      </c>
    </row>
    <row r="225" spans="1:20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3"/>
        <v>94</v>
      </c>
      <c r="G225" t="s">
        <v>14</v>
      </c>
      <c r="H225">
        <v>931</v>
      </c>
      <c r="I225" s="6"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5">
        <v>42445.208333333336</v>
      </c>
      <c r="O225" s="5">
        <v>42459.208333333336</v>
      </c>
      <c r="P225" t="b">
        <v>0</v>
      </c>
      <c r="Q225" t="b">
        <v>0</v>
      </c>
      <c r="R225" t="s">
        <v>33</v>
      </c>
      <c r="S225" t="s">
        <v>2040</v>
      </c>
      <c r="T225" t="s">
        <v>2041</v>
      </c>
    </row>
    <row r="226" spans="1:20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3"/>
        <v>404</v>
      </c>
      <c r="G226" t="s">
        <v>20</v>
      </c>
      <c r="H226">
        <v>3594</v>
      </c>
      <c r="I226" s="6"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5">
        <v>41906.208333333336</v>
      </c>
      <c r="O226" s="5">
        <v>41951.25</v>
      </c>
      <c r="P226" t="b">
        <v>0</v>
      </c>
      <c r="Q226" t="b">
        <v>0</v>
      </c>
      <c r="R226" t="s">
        <v>474</v>
      </c>
      <c r="S226" t="s">
        <v>2042</v>
      </c>
      <c r="T226" t="s">
        <v>2064</v>
      </c>
    </row>
    <row r="227" spans="1:20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3"/>
        <v>260</v>
      </c>
      <c r="G227" t="s">
        <v>20</v>
      </c>
      <c r="H227">
        <v>5880</v>
      </c>
      <c r="I227" s="6"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5">
        <v>41762.208333333336</v>
      </c>
      <c r="O227" s="5">
        <v>41762.208333333336</v>
      </c>
      <c r="P227" t="b">
        <v>1</v>
      </c>
      <c r="Q227" t="b">
        <v>0</v>
      </c>
      <c r="R227" t="s">
        <v>23</v>
      </c>
      <c r="S227" t="s">
        <v>2036</v>
      </c>
      <c r="T227" t="s">
        <v>2037</v>
      </c>
    </row>
    <row r="228" spans="1:20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3"/>
        <v>367</v>
      </c>
      <c r="G228" t="s">
        <v>20</v>
      </c>
      <c r="H228">
        <v>112</v>
      </c>
      <c r="I228" s="6"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5">
        <v>40276.208333333336</v>
      </c>
      <c r="O228" s="5">
        <v>40313.208333333336</v>
      </c>
      <c r="P228" t="b">
        <v>0</v>
      </c>
      <c r="Q228" t="b">
        <v>0</v>
      </c>
      <c r="R228" t="s">
        <v>122</v>
      </c>
      <c r="S228" t="s">
        <v>2055</v>
      </c>
      <c r="T228" t="s">
        <v>2056</v>
      </c>
    </row>
    <row r="229" spans="1:20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3"/>
        <v>169</v>
      </c>
      <c r="G229" t="s">
        <v>20</v>
      </c>
      <c r="H229">
        <v>943</v>
      </c>
      <c r="I229" s="6"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5">
        <v>42139.208333333336</v>
      </c>
      <c r="O229" s="5">
        <v>42145.208333333336</v>
      </c>
      <c r="P229" t="b">
        <v>0</v>
      </c>
      <c r="Q229" t="b">
        <v>0</v>
      </c>
      <c r="R229" t="s">
        <v>292</v>
      </c>
      <c r="S229" t="s">
        <v>2051</v>
      </c>
      <c r="T229" t="s">
        <v>2062</v>
      </c>
    </row>
    <row r="230" spans="1:20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3"/>
        <v>120</v>
      </c>
      <c r="G230" t="s">
        <v>20</v>
      </c>
      <c r="H230">
        <v>2468</v>
      </c>
      <c r="I230" s="6"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5">
        <v>42613.208333333336</v>
      </c>
      <c r="O230" s="5">
        <v>42638.208333333336</v>
      </c>
      <c r="P230" t="b">
        <v>0</v>
      </c>
      <c r="Q230" t="b">
        <v>0</v>
      </c>
      <c r="R230" t="s">
        <v>71</v>
      </c>
      <c r="S230" t="s">
        <v>2042</v>
      </c>
      <c r="T230" t="s">
        <v>2050</v>
      </c>
    </row>
    <row r="231" spans="1:20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3"/>
        <v>194</v>
      </c>
      <c r="G231" t="s">
        <v>20</v>
      </c>
      <c r="H231">
        <v>2551</v>
      </c>
      <c r="I231" s="6"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5">
        <v>42887.208333333336</v>
      </c>
      <c r="O231" s="5">
        <v>42935.208333333336</v>
      </c>
      <c r="P231" t="b">
        <v>0</v>
      </c>
      <c r="Q231" t="b">
        <v>1</v>
      </c>
      <c r="R231" t="s">
        <v>292</v>
      </c>
      <c r="S231" t="s">
        <v>2051</v>
      </c>
      <c r="T231" t="s">
        <v>2062</v>
      </c>
    </row>
    <row r="232" spans="1:20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3"/>
        <v>420</v>
      </c>
      <c r="G232" t="s">
        <v>20</v>
      </c>
      <c r="H232">
        <v>101</v>
      </c>
      <c r="I232" s="6"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5">
        <v>43805.25</v>
      </c>
      <c r="O232" s="5">
        <v>43805.25</v>
      </c>
      <c r="P232" t="b">
        <v>0</v>
      </c>
      <c r="Q232" t="b">
        <v>0</v>
      </c>
      <c r="R232" t="s">
        <v>89</v>
      </c>
      <c r="S232" t="s">
        <v>2051</v>
      </c>
      <c r="T232" t="s">
        <v>2052</v>
      </c>
    </row>
    <row r="233" spans="1:20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3"/>
        <v>77</v>
      </c>
      <c r="G233" t="s">
        <v>74</v>
      </c>
      <c r="H233">
        <v>67</v>
      </c>
      <c r="I233" s="6"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5">
        <v>41415.208333333336</v>
      </c>
      <c r="O233" s="5">
        <v>41473.208333333336</v>
      </c>
      <c r="P233" t="b">
        <v>0</v>
      </c>
      <c r="Q233" t="b">
        <v>0</v>
      </c>
      <c r="R233" t="s">
        <v>33</v>
      </c>
      <c r="S233" t="s">
        <v>2040</v>
      </c>
      <c r="T233" t="s">
        <v>2041</v>
      </c>
    </row>
    <row r="234" spans="1:20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3"/>
        <v>171</v>
      </c>
      <c r="G234" t="s">
        <v>20</v>
      </c>
      <c r="H234">
        <v>92</v>
      </c>
      <c r="I234" s="6"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5">
        <v>42576.208333333336</v>
      </c>
      <c r="O234" s="5">
        <v>42577.208333333336</v>
      </c>
      <c r="P234" t="b">
        <v>0</v>
      </c>
      <c r="Q234" t="b">
        <v>0</v>
      </c>
      <c r="R234" t="s">
        <v>33</v>
      </c>
      <c r="S234" t="s">
        <v>2040</v>
      </c>
      <c r="T234" t="s">
        <v>2041</v>
      </c>
    </row>
    <row r="235" spans="1:20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3"/>
        <v>158</v>
      </c>
      <c r="G235" t="s">
        <v>20</v>
      </c>
      <c r="H235">
        <v>62</v>
      </c>
      <c r="I235" s="6"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5">
        <v>40706.208333333336</v>
      </c>
      <c r="O235" s="5">
        <v>40722.208333333336</v>
      </c>
      <c r="P235" t="b">
        <v>0</v>
      </c>
      <c r="Q235" t="b">
        <v>0</v>
      </c>
      <c r="R235" t="s">
        <v>71</v>
      </c>
      <c r="S235" t="s">
        <v>2042</v>
      </c>
      <c r="T235" t="s">
        <v>2050</v>
      </c>
    </row>
    <row r="236" spans="1:20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3"/>
        <v>109</v>
      </c>
      <c r="G236" t="s">
        <v>20</v>
      </c>
      <c r="H236">
        <v>149</v>
      </c>
      <c r="I236" s="6"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5">
        <v>42969.208333333336</v>
      </c>
      <c r="O236" s="5">
        <v>42976.208333333336</v>
      </c>
      <c r="P236" t="b">
        <v>0</v>
      </c>
      <c r="Q236" t="b">
        <v>1</v>
      </c>
      <c r="R236" t="s">
        <v>89</v>
      </c>
      <c r="S236" t="s">
        <v>2051</v>
      </c>
      <c r="T236" t="s">
        <v>2052</v>
      </c>
    </row>
    <row r="237" spans="1:20" ht="31.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3"/>
        <v>42</v>
      </c>
      <c r="G237" t="s">
        <v>14</v>
      </c>
      <c r="H237">
        <v>92</v>
      </c>
      <c r="I237" s="6"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5">
        <v>42779.25</v>
      </c>
      <c r="O237" s="5">
        <v>42784.25</v>
      </c>
      <c r="P237" t="b">
        <v>0</v>
      </c>
      <c r="Q237" t="b">
        <v>0</v>
      </c>
      <c r="R237" t="s">
        <v>71</v>
      </c>
      <c r="S237" t="s">
        <v>2042</v>
      </c>
      <c r="T237" t="s">
        <v>2050</v>
      </c>
    </row>
    <row r="238" spans="1:20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3"/>
        <v>11</v>
      </c>
      <c r="G238" t="s">
        <v>14</v>
      </c>
      <c r="H238">
        <v>57</v>
      </c>
      <c r="I238" s="6"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5">
        <v>43641.208333333336</v>
      </c>
      <c r="O238" s="5">
        <v>43648.208333333336</v>
      </c>
      <c r="P238" t="b">
        <v>0</v>
      </c>
      <c r="Q238" t="b">
        <v>1</v>
      </c>
      <c r="R238" t="s">
        <v>23</v>
      </c>
      <c r="S238" t="s">
        <v>2036</v>
      </c>
      <c r="T238" t="s">
        <v>2037</v>
      </c>
    </row>
    <row r="239" spans="1:20" ht="31.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3"/>
        <v>159</v>
      </c>
      <c r="G239" t="s">
        <v>20</v>
      </c>
      <c r="H239">
        <v>329</v>
      </c>
      <c r="I239" s="6"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5">
        <v>41754.208333333336</v>
      </c>
      <c r="O239" s="5">
        <v>41756.208333333336</v>
      </c>
      <c r="P239" t="b">
        <v>0</v>
      </c>
      <c r="Q239" t="b">
        <v>0</v>
      </c>
      <c r="R239" t="s">
        <v>71</v>
      </c>
      <c r="S239" t="s">
        <v>2042</v>
      </c>
      <c r="T239" t="s">
        <v>2050</v>
      </c>
    </row>
    <row r="240" spans="1:20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3"/>
        <v>422</v>
      </c>
      <c r="G240" t="s">
        <v>20</v>
      </c>
      <c r="H240">
        <v>97</v>
      </c>
      <c r="I240" s="6"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5">
        <v>43083.25</v>
      </c>
      <c r="O240" s="5">
        <v>43108.25</v>
      </c>
      <c r="P240" t="b">
        <v>0</v>
      </c>
      <c r="Q240" t="b">
        <v>1</v>
      </c>
      <c r="R240" t="s">
        <v>33</v>
      </c>
      <c r="S240" t="s">
        <v>2040</v>
      </c>
      <c r="T240" t="s">
        <v>2041</v>
      </c>
    </row>
    <row r="241" spans="1:20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3"/>
        <v>98</v>
      </c>
      <c r="G241" t="s">
        <v>14</v>
      </c>
      <c r="H241">
        <v>41</v>
      </c>
      <c r="I241" s="6"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5">
        <v>42245.208333333336</v>
      </c>
      <c r="O241" s="5">
        <v>42249.208333333336</v>
      </c>
      <c r="P241" t="b">
        <v>0</v>
      </c>
      <c r="Q241" t="b">
        <v>0</v>
      </c>
      <c r="R241" t="s">
        <v>65</v>
      </c>
      <c r="S241" t="s">
        <v>2038</v>
      </c>
      <c r="T241" t="s">
        <v>2047</v>
      </c>
    </row>
    <row r="242" spans="1:20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3"/>
        <v>419</v>
      </c>
      <c r="G242" t="s">
        <v>20</v>
      </c>
      <c r="H242">
        <v>1784</v>
      </c>
      <c r="I242" s="6"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5">
        <v>40396.208333333336</v>
      </c>
      <c r="O242" s="5">
        <v>40397.208333333336</v>
      </c>
      <c r="P242" t="b">
        <v>0</v>
      </c>
      <c r="Q242" t="b">
        <v>0</v>
      </c>
      <c r="R242" t="s">
        <v>33</v>
      </c>
      <c r="S242" t="s">
        <v>2040</v>
      </c>
      <c r="T242" t="s">
        <v>2041</v>
      </c>
    </row>
    <row r="243" spans="1:20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3"/>
        <v>102</v>
      </c>
      <c r="G243" t="s">
        <v>20</v>
      </c>
      <c r="H243">
        <v>1684</v>
      </c>
      <c r="I243" s="6"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5">
        <v>41742.208333333336</v>
      </c>
      <c r="O243" s="5">
        <v>41752.208333333336</v>
      </c>
      <c r="P243" t="b">
        <v>0</v>
      </c>
      <c r="Q243" t="b">
        <v>1</v>
      </c>
      <c r="R243" t="s">
        <v>68</v>
      </c>
      <c r="S243" t="s">
        <v>2048</v>
      </c>
      <c r="T243" t="s">
        <v>2049</v>
      </c>
    </row>
    <row r="244" spans="1:20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3"/>
        <v>128</v>
      </c>
      <c r="G244" t="s">
        <v>20</v>
      </c>
      <c r="H244">
        <v>250</v>
      </c>
      <c r="I244" s="6"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5">
        <v>42865.208333333336</v>
      </c>
      <c r="O244" s="5">
        <v>42875.208333333336</v>
      </c>
      <c r="P244" t="b">
        <v>0</v>
      </c>
      <c r="Q244" t="b">
        <v>1</v>
      </c>
      <c r="R244" t="s">
        <v>23</v>
      </c>
      <c r="S244" t="s">
        <v>2036</v>
      </c>
      <c r="T244" t="s">
        <v>2037</v>
      </c>
    </row>
    <row r="245" spans="1:20" ht="31.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3"/>
        <v>445</v>
      </c>
      <c r="G245" t="s">
        <v>20</v>
      </c>
      <c r="H245">
        <v>238</v>
      </c>
      <c r="I245" s="6"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5">
        <v>43163.25</v>
      </c>
      <c r="O245" s="5">
        <v>43166.25</v>
      </c>
      <c r="P245" t="b">
        <v>0</v>
      </c>
      <c r="Q245" t="b">
        <v>0</v>
      </c>
      <c r="R245" t="s">
        <v>33</v>
      </c>
      <c r="S245" t="s">
        <v>2040</v>
      </c>
      <c r="T245" t="s">
        <v>2041</v>
      </c>
    </row>
    <row r="246" spans="1:20" ht="31.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3"/>
        <v>570</v>
      </c>
      <c r="G246" t="s">
        <v>20</v>
      </c>
      <c r="H246">
        <v>53</v>
      </c>
      <c r="I246" s="6"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5">
        <v>41834.208333333336</v>
      </c>
      <c r="O246" s="5">
        <v>41886.208333333336</v>
      </c>
      <c r="P246" t="b">
        <v>0</v>
      </c>
      <c r="Q246" t="b">
        <v>0</v>
      </c>
      <c r="R246" t="s">
        <v>33</v>
      </c>
      <c r="S246" t="s">
        <v>2040</v>
      </c>
      <c r="T246" t="s">
        <v>2041</v>
      </c>
    </row>
    <row r="247" spans="1:20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3"/>
        <v>509</v>
      </c>
      <c r="G247" t="s">
        <v>20</v>
      </c>
      <c r="H247">
        <v>214</v>
      </c>
      <c r="I247" s="6"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5">
        <v>41736.208333333336</v>
      </c>
      <c r="O247" s="5">
        <v>41737.208333333336</v>
      </c>
      <c r="P247" t="b">
        <v>0</v>
      </c>
      <c r="Q247" t="b">
        <v>0</v>
      </c>
      <c r="R247" t="s">
        <v>33</v>
      </c>
      <c r="S247" t="s">
        <v>2040</v>
      </c>
      <c r="T247" t="s">
        <v>2041</v>
      </c>
    </row>
    <row r="248" spans="1:20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3"/>
        <v>326</v>
      </c>
      <c r="G248" t="s">
        <v>20</v>
      </c>
      <c r="H248">
        <v>222</v>
      </c>
      <c r="I248" s="6"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5">
        <v>41491.208333333336</v>
      </c>
      <c r="O248" s="5">
        <v>41495.208333333336</v>
      </c>
      <c r="P248" t="b">
        <v>0</v>
      </c>
      <c r="Q248" t="b">
        <v>0</v>
      </c>
      <c r="R248" t="s">
        <v>28</v>
      </c>
      <c r="S248" t="s">
        <v>2038</v>
      </c>
      <c r="T248" t="s">
        <v>2039</v>
      </c>
    </row>
    <row r="249" spans="1:20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3"/>
        <v>933</v>
      </c>
      <c r="G249" t="s">
        <v>20</v>
      </c>
      <c r="H249">
        <v>1884</v>
      </c>
      <c r="I249" s="6"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5">
        <v>42726.25</v>
      </c>
      <c r="O249" s="5">
        <v>42741.25</v>
      </c>
      <c r="P249" t="b">
        <v>0</v>
      </c>
      <c r="Q249" t="b">
        <v>1</v>
      </c>
      <c r="R249" t="s">
        <v>119</v>
      </c>
      <c r="S249" t="s">
        <v>2048</v>
      </c>
      <c r="T249" t="s">
        <v>2054</v>
      </c>
    </row>
    <row r="250" spans="1:20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3"/>
        <v>211</v>
      </c>
      <c r="G250" t="s">
        <v>20</v>
      </c>
      <c r="H250">
        <v>218</v>
      </c>
      <c r="I250" s="6"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5">
        <v>42004.25</v>
      </c>
      <c r="O250" s="5">
        <v>42009.25</v>
      </c>
      <c r="P250" t="b">
        <v>0</v>
      </c>
      <c r="Q250" t="b">
        <v>0</v>
      </c>
      <c r="R250" t="s">
        <v>292</v>
      </c>
      <c r="S250" t="s">
        <v>2051</v>
      </c>
      <c r="T250" t="s">
        <v>2062</v>
      </c>
    </row>
    <row r="251" spans="1:20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3"/>
        <v>273</v>
      </c>
      <c r="G251" t="s">
        <v>20</v>
      </c>
      <c r="H251">
        <v>6465</v>
      </c>
      <c r="I251" s="6"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5">
        <v>42006.25</v>
      </c>
      <c r="O251" s="5">
        <v>42013.25</v>
      </c>
      <c r="P251" t="b">
        <v>0</v>
      </c>
      <c r="Q251" t="b">
        <v>0</v>
      </c>
      <c r="R251" t="s">
        <v>206</v>
      </c>
      <c r="S251" t="s">
        <v>2048</v>
      </c>
      <c r="T251" t="s">
        <v>2060</v>
      </c>
    </row>
    <row r="252" spans="1:20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3"/>
        <v>3</v>
      </c>
      <c r="G252" t="s">
        <v>14</v>
      </c>
      <c r="H252">
        <v>1</v>
      </c>
      <c r="I252" s="6">
        <v>3</v>
      </c>
      <c r="J252" t="s">
        <v>21</v>
      </c>
      <c r="K252" t="s">
        <v>22</v>
      </c>
      <c r="L252">
        <v>1264399200</v>
      </c>
      <c r="M252">
        <v>1267423200</v>
      </c>
      <c r="N252" s="5">
        <v>40203.25</v>
      </c>
      <c r="O252" s="5">
        <v>40238.25</v>
      </c>
      <c r="P252" t="b">
        <v>0</v>
      </c>
      <c r="Q252" t="b">
        <v>0</v>
      </c>
      <c r="R252" t="s">
        <v>23</v>
      </c>
      <c r="S252" t="s">
        <v>2036</v>
      </c>
      <c r="T252" t="s">
        <v>2037</v>
      </c>
    </row>
    <row r="253" spans="1:20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3"/>
        <v>54</v>
      </c>
      <c r="G253" t="s">
        <v>14</v>
      </c>
      <c r="H253">
        <v>101</v>
      </c>
      <c r="I253" s="6"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5">
        <v>41252.25</v>
      </c>
      <c r="O253" s="5">
        <v>41254.25</v>
      </c>
      <c r="P253" t="b">
        <v>0</v>
      </c>
      <c r="Q253" t="b">
        <v>0</v>
      </c>
      <c r="R253" t="s">
        <v>33</v>
      </c>
      <c r="S253" t="s">
        <v>2040</v>
      </c>
      <c r="T253" t="s">
        <v>2041</v>
      </c>
    </row>
    <row r="254" spans="1:20" ht="31.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3"/>
        <v>626</v>
      </c>
      <c r="G254" t="s">
        <v>20</v>
      </c>
      <c r="H254">
        <v>59</v>
      </c>
      <c r="I254" s="6"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5">
        <v>41572.208333333336</v>
      </c>
      <c r="O254" s="5">
        <v>41577.208333333336</v>
      </c>
      <c r="P254" t="b">
        <v>0</v>
      </c>
      <c r="Q254" t="b">
        <v>0</v>
      </c>
      <c r="R254" t="s">
        <v>33</v>
      </c>
      <c r="S254" t="s">
        <v>2040</v>
      </c>
      <c r="T254" t="s">
        <v>2041</v>
      </c>
    </row>
    <row r="255" spans="1:20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3"/>
        <v>89</v>
      </c>
      <c r="G255" t="s">
        <v>14</v>
      </c>
      <c r="H255">
        <v>1335</v>
      </c>
      <c r="I255" s="6"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5">
        <v>40641.208333333336</v>
      </c>
      <c r="O255" s="5">
        <v>40653.208333333336</v>
      </c>
      <c r="P255" t="b">
        <v>0</v>
      </c>
      <c r="Q255" t="b">
        <v>0</v>
      </c>
      <c r="R255" t="s">
        <v>53</v>
      </c>
      <c r="S255" t="s">
        <v>2042</v>
      </c>
      <c r="T255" t="s">
        <v>2045</v>
      </c>
    </row>
    <row r="256" spans="1:20" ht="31.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3"/>
        <v>185</v>
      </c>
      <c r="G256" t="s">
        <v>20</v>
      </c>
      <c r="H256">
        <v>88</v>
      </c>
      <c r="I256" s="6"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5">
        <v>42787.25</v>
      </c>
      <c r="O256" s="5">
        <v>42789.25</v>
      </c>
      <c r="P256" t="b">
        <v>0</v>
      </c>
      <c r="Q256" t="b">
        <v>0</v>
      </c>
      <c r="R256" t="s">
        <v>68</v>
      </c>
      <c r="S256" t="s">
        <v>2048</v>
      </c>
      <c r="T256" t="s">
        <v>2049</v>
      </c>
    </row>
    <row r="257" spans="1:20" ht="31.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3"/>
        <v>120</v>
      </c>
      <c r="G257" t="s">
        <v>20</v>
      </c>
      <c r="H257">
        <v>1697</v>
      </c>
      <c r="I257" s="6"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5">
        <v>40590.25</v>
      </c>
      <c r="O257" s="5">
        <v>40595.25</v>
      </c>
      <c r="P257" t="b">
        <v>0</v>
      </c>
      <c r="Q257" t="b">
        <v>1</v>
      </c>
      <c r="R257" t="s">
        <v>23</v>
      </c>
      <c r="S257" t="s">
        <v>2036</v>
      </c>
      <c r="T257" t="s">
        <v>2037</v>
      </c>
    </row>
    <row r="258" spans="1:20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3"/>
        <v>23</v>
      </c>
      <c r="G258" t="s">
        <v>14</v>
      </c>
      <c r="H258">
        <v>15</v>
      </c>
      <c r="I258" s="6"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5">
        <v>42393.25</v>
      </c>
      <c r="O258" s="5">
        <v>42430.25</v>
      </c>
      <c r="P258" t="b">
        <v>0</v>
      </c>
      <c r="Q258" t="b">
        <v>0</v>
      </c>
      <c r="R258" t="s">
        <v>23</v>
      </c>
      <c r="S258" t="s">
        <v>2036</v>
      </c>
      <c r="T258" t="s">
        <v>2037</v>
      </c>
    </row>
    <row r="259" spans="1:20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si="3"/>
        <v>146</v>
      </c>
      <c r="G259" t="s">
        <v>20</v>
      </c>
      <c r="H259">
        <v>92</v>
      </c>
      <c r="I259" s="6"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5">
        <v>41338.25</v>
      </c>
      <c r="O259" s="5">
        <v>41352.208333333336</v>
      </c>
      <c r="P259" t="b">
        <v>0</v>
      </c>
      <c r="Q259" t="b">
        <v>0</v>
      </c>
      <c r="R259" t="s">
        <v>33</v>
      </c>
      <c r="S259" t="s">
        <v>2040</v>
      </c>
      <c r="T259" t="s">
        <v>2041</v>
      </c>
    </row>
    <row r="260" spans="1:20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ref="F260:F323" si="4">ROUND(E260/D260*100,0)</f>
        <v>268</v>
      </c>
      <c r="G260" t="s">
        <v>20</v>
      </c>
      <c r="H260">
        <v>186</v>
      </c>
      <c r="I260" s="6"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5">
        <v>42712.25</v>
      </c>
      <c r="O260" s="5">
        <v>42732.25</v>
      </c>
      <c r="P260" t="b">
        <v>0</v>
      </c>
      <c r="Q260" t="b">
        <v>1</v>
      </c>
      <c r="R260" t="s">
        <v>33</v>
      </c>
      <c r="S260" t="s">
        <v>2040</v>
      </c>
      <c r="T260" t="s">
        <v>2041</v>
      </c>
    </row>
    <row r="261" spans="1:20" ht="31.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4"/>
        <v>598</v>
      </c>
      <c r="G261" t="s">
        <v>20</v>
      </c>
      <c r="H261">
        <v>138</v>
      </c>
      <c r="I261" s="6"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5">
        <v>41251.25</v>
      </c>
      <c r="O261" s="5">
        <v>41270.25</v>
      </c>
      <c r="P261" t="b">
        <v>1</v>
      </c>
      <c r="Q261" t="b">
        <v>0</v>
      </c>
      <c r="R261" t="s">
        <v>122</v>
      </c>
      <c r="S261" t="s">
        <v>2055</v>
      </c>
      <c r="T261" t="s">
        <v>2056</v>
      </c>
    </row>
    <row r="262" spans="1:20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4"/>
        <v>158</v>
      </c>
      <c r="G262" t="s">
        <v>20</v>
      </c>
      <c r="H262">
        <v>261</v>
      </c>
      <c r="I262" s="6"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5">
        <v>41180.208333333336</v>
      </c>
      <c r="O262" s="5">
        <v>41192.208333333336</v>
      </c>
      <c r="P262" t="b">
        <v>0</v>
      </c>
      <c r="Q262" t="b">
        <v>0</v>
      </c>
      <c r="R262" t="s">
        <v>23</v>
      </c>
      <c r="S262" t="s">
        <v>2036</v>
      </c>
      <c r="T262" t="s">
        <v>2037</v>
      </c>
    </row>
    <row r="263" spans="1:20" ht="31.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4"/>
        <v>31</v>
      </c>
      <c r="G263" t="s">
        <v>14</v>
      </c>
      <c r="H263">
        <v>454</v>
      </c>
      <c r="I263" s="6"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5">
        <v>40415.208333333336</v>
      </c>
      <c r="O263" s="5">
        <v>40419.208333333336</v>
      </c>
      <c r="P263" t="b">
        <v>0</v>
      </c>
      <c r="Q263" t="b">
        <v>1</v>
      </c>
      <c r="R263" t="s">
        <v>23</v>
      </c>
      <c r="S263" t="s">
        <v>2036</v>
      </c>
      <c r="T263" t="s">
        <v>2037</v>
      </c>
    </row>
    <row r="264" spans="1:20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4"/>
        <v>313</v>
      </c>
      <c r="G264" t="s">
        <v>20</v>
      </c>
      <c r="H264">
        <v>107</v>
      </c>
      <c r="I264" s="6"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5">
        <v>40638.208333333336</v>
      </c>
      <c r="O264" s="5">
        <v>40664.208333333336</v>
      </c>
      <c r="P264" t="b">
        <v>0</v>
      </c>
      <c r="Q264" t="b">
        <v>1</v>
      </c>
      <c r="R264" t="s">
        <v>60</v>
      </c>
      <c r="S264" t="s">
        <v>2036</v>
      </c>
      <c r="T264" t="s">
        <v>2046</v>
      </c>
    </row>
    <row r="265" spans="1:20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4"/>
        <v>371</v>
      </c>
      <c r="G265" t="s">
        <v>20</v>
      </c>
      <c r="H265">
        <v>199</v>
      </c>
      <c r="I265" s="6"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5">
        <v>40187.25</v>
      </c>
      <c r="O265" s="5">
        <v>40187.25</v>
      </c>
      <c r="P265" t="b">
        <v>0</v>
      </c>
      <c r="Q265" t="b">
        <v>0</v>
      </c>
      <c r="R265" t="s">
        <v>122</v>
      </c>
      <c r="S265" t="s">
        <v>2055</v>
      </c>
      <c r="T265" t="s">
        <v>2056</v>
      </c>
    </row>
    <row r="266" spans="1:20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4"/>
        <v>363</v>
      </c>
      <c r="G266" t="s">
        <v>20</v>
      </c>
      <c r="H266">
        <v>5512</v>
      </c>
      <c r="I266" s="6"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5">
        <v>41317.25</v>
      </c>
      <c r="O266" s="5">
        <v>41333.25</v>
      </c>
      <c r="P266" t="b">
        <v>0</v>
      </c>
      <c r="Q266" t="b">
        <v>0</v>
      </c>
      <c r="R266" t="s">
        <v>33</v>
      </c>
      <c r="S266" t="s">
        <v>2040</v>
      </c>
      <c r="T266" t="s">
        <v>2041</v>
      </c>
    </row>
    <row r="267" spans="1:20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4"/>
        <v>123</v>
      </c>
      <c r="G267" t="s">
        <v>20</v>
      </c>
      <c r="H267">
        <v>86</v>
      </c>
      <c r="I267" s="6"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5">
        <v>42372.25</v>
      </c>
      <c r="O267" s="5">
        <v>42416.25</v>
      </c>
      <c r="P267" t="b">
        <v>0</v>
      </c>
      <c r="Q267" t="b">
        <v>0</v>
      </c>
      <c r="R267" t="s">
        <v>33</v>
      </c>
      <c r="S267" t="s">
        <v>2040</v>
      </c>
      <c r="T267" t="s">
        <v>2041</v>
      </c>
    </row>
    <row r="268" spans="1:20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4"/>
        <v>77</v>
      </c>
      <c r="G268" t="s">
        <v>14</v>
      </c>
      <c r="H268">
        <v>3182</v>
      </c>
      <c r="I268" s="6"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5">
        <v>41950.25</v>
      </c>
      <c r="O268" s="5">
        <v>41983.25</v>
      </c>
      <c r="P268" t="b">
        <v>0</v>
      </c>
      <c r="Q268" t="b">
        <v>1</v>
      </c>
      <c r="R268" t="s">
        <v>159</v>
      </c>
      <c r="S268" t="s">
        <v>2036</v>
      </c>
      <c r="T268" t="s">
        <v>2059</v>
      </c>
    </row>
    <row r="269" spans="1:20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4"/>
        <v>234</v>
      </c>
      <c r="G269" t="s">
        <v>20</v>
      </c>
      <c r="H269">
        <v>2768</v>
      </c>
      <c r="I269" s="6"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5">
        <v>41206.208333333336</v>
      </c>
      <c r="O269" s="5">
        <v>41222.25</v>
      </c>
      <c r="P269" t="b">
        <v>0</v>
      </c>
      <c r="Q269" t="b">
        <v>0</v>
      </c>
      <c r="R269" t="s">
        <v>33</v>
      </c>
      <c r="S269" t="s">
        <v>2040</v>
      </c>
      <c r="T269" t="s">
        <v>2041</v>
      </c>
    </row>
    <row r="270" spans="1:20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4"/>
        <v>181</v>
      </c>
      <c r="G270" t="s">
        <v>20</v>
      </c>
      <c r="H270">
        <v>48</v>
      </c>
      <c r="I270" s="6"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5">
        <v>41186.208333333336</v>
      </c>
      <c r="O270" s="5">
        <v>41232.25</v>
      </c>
      <c r="P270" t="b">
        <v>0</v>
      </c>
      <c r="Q270" t="b">
        <v>0</v>
      </c>
      <c r="R270" t="s">
        <v>42</v>
      </c>
      <c r="S270" t="s">
        <v>2042</v>
      </c>
      <c r="T270" t="s">
        <v>2043</v>
      </c>
    </row>
    <row r="271" spans="1:20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4"/>
        <v>253</v>
      </c>
      <c r="G271" t="s">
        <v>20</v>
      </c>
      <c r="H271">
        <v>87</v>
      </c>
      <c r="I271" s="6"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5">
        <v>43496.25</v>
      </c>
      <c r="O271" s="5">
        <v>43517.25</v>
      </c>
      <c r="P271" t="b">
        <v>0</v>
      </c>
      <c r="Q271" t="b">
        <v>0</v>
      </c>
      <c r="R271" t="s">
        <v>269</v>
      </c>
      <c r="S271" t="s">
        <v>2042</v>
      </c>
      <c r="T271" t="s">
        <v>2061</v>
      </c>
    </row>
    <row r="272" spans="1:20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4"/>
        <v>27</v>
      </c>
      <c r="G272" t="s">
        <v>74</v>
      </c>
      <c r="H272">
        <v>1890</v>
      </c>
      <c r="I272" s="6"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5">
        <v>40514.25</v>
      </c>
      <c r="O272" s="5">
        <v>40516.25</v>
      </c>
      <c r="P272" t="b">
        <v>0</v>
      </c>
      <c r="Q272" t="b">
        <v>0</v>
      </c>
      <c r="R272" t="s">
        <v>89</v>
      </c>
      <c r="S272" t="s">
        <v>2051</v>
      </c>
      <c r="T272" t="s">
        <v>2052</v>
      </c>
    </row>
    <row r="273" spans="1:20" ht="31.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4"/>
        <v>1</v>
      </c>
      <c r="G273" t="s">
        <v>47</v>
      </c>
      <c r="H273">
        <v>61</v>
      </c>
      <c r="I273" s="6"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5">
        <v>42345.25</v>
      </c>
      <c r="O273" s="5">
        <v>42376.25</v>
      </c>
      <c r="P273" t="b">
        <v>0</v>
      </c>
      <c r="Q273" t="b">
        <v>0</v>
      </c>
      <c r="R273" t="s">
        <v>122</v>
      </c>
      <c r="S273" t="s">
        <v>2055</v>
      </c>
      <c r="T273" t="s">
        <v>2056</v>
      </c>
    </row>
    <row r="274" spans="1:20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4"/>
        <v>304</v>
      </c>
      <c r="G274" t="s">
        <v>20</v>
      </c>
      <c r="H274">
        <v>1894</v>
      </c>
      <c r="I274" s="6"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5">
        <v>43656.208333333336</v>
      </c>
      <c r="O274" s="5">
        <v>43681.208333333336</v>
      </c>
      <c r="P274" t="b">
        <v>0</v>
      </c>
      <c r="Q274" t="b">
        <v>1</v>
      </c>
      <c r="R274" t="s">
        <v>33</v>
      </c>
      <c r="S274" t="s">
        <v>2040</v>
      </c>
      <c r="T274" t="s">
        <v>2041</v>
      </c>
    </row>
    <row r="275" spans="1:20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4"/>
        <v>137</v>
      </c>
      <c r="G275" t="s">
        <v>20</v>
      </c>
      <c r="H275">
        <v>282</v>
      </c>
      <c r="I275" s="6"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5">
        <v>42995.208333333336</v>
      </c>
      <c r="O275" s="5">
        <v>42998.208333333336</v>
      </c>
      <c r="P275" t="b">
        <v>0</v>
      </c>
      <c r="Q275" t="b">
        <v>0</v>
      </c>
      <c r="R275" t="s">
        <v>33</v>
      </c>
      <c r="S275" t="s">
        <v>2040</v>
      </c>
      <c r="T275" t="s">
        <v>2041</v>
      </c>
    </row>
    <row r="276" spans="1:20" ht="31.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4"/>
        <v>32</v>
      </c>
      <c r="G276" t="s">
        <v>14</v>
      </c>
      <c r="H276">
        <v>15</v>
      </c>
      <c r="I276" s="6"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5">
        <v>43045.25</v>
      </c>
      <c r="O276" s="5">
        <v>43050.25</v>
      </c>
      <c r="P276" t="b">
        <v>0</v>
      </c>
      <c r="Q276" t="b">
        <v>0</v>
      </c>
      <c r="R276" t="s">
        <v>33</v>
      </c>
      <c r="S276" t="s">
        <v>2040</v>
      </c>
      <c r="T276" t="s">
        <v>2041</v>
      </c>
    </row>
    <row r="277" spans="1:20" ht="31.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4"/>
        <v>242</v>
      </c>
      <c r="G277" t="s">
        <v>20</v>
      </c>
      <c r="H277">
        <v>116</v>
      </c>
      <c r="I277" s="6"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5">
        <v>43561.208333333336</v>
      </c>
      <c r="O277" s="5">
        <v>43569.208333333336</v>
      </c>
      <c r="P277" t="b">
        <v>0</v>
      </c>
      <c r="Q277" t="b">
        <v>0</v>
      </c>
      <c r="R277" t="s">
        <v>206</v>
      </c>
      <c r="S277" t="s">
        <v>2048</v>
      </c>
      <c r="T277" t="s">
        <v>2060</v>
      </c>
    </row>
    <row r="278" spans="1:20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4"/>
        <v>97</v>
      </c>
      <c r="G278" t="s">
        <v>14</v>
      </c>
      <c r="H278">
        <v>133</v>
      </c>
      <c r="I278" s="6"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5">
        <v>41018.208333333336</v>
      </c>
      <c r="O278" s="5">
        <v>41023.208333333336</v>
      </c>
      <c r="P278" t="b">
        <v>0</v>
      </c>
      <c r="Q278" t="b">
        <v>1</v>
      </c>
      <c r="R278" t="s">
        <v>89</v>
      </c>
      <c r="S278" t="s">
        <v>2051</v>
      </c>
      <c r="T278" t="s">
        <v>2052</v>
      </c>
    </row>
    <row r="279" spans="1:20" ht="31.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4"/>
        <v>1066</v>
      </c>
      <c r="G279" t="s">
        <v>20</v>
      </c>
      <c r="H279">
        <v>83</v>
      </c>
      <c r="I279" s="6"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5">
        <v>40378.208333333336</v>
      </c>
      <c r="O279" s="5">
        <v>40380.208333333336</v>
      </c>
      <c r="P279" t="b">
        <v>0</v>
      </c>
      <c r="Q279" t="b">
        <v>0</v>
      </c>
      <c r="R279" t="s">
        <v>33</v>
      </c>
      <c r="S279" t="s">
        <v>2040</v>
      </c>
      <c r="T279" t="s">
        <v>2041</v>
      </c>
    </row>
    <row r="280" spans="1:20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4"/>
        <v>326</v>
      </c>
      <c r="G280" t="s">
        <v>20</v>
      </c>
      <c r="H280">
        <v>91</v>
      </c>
      <c r="I280" s="6"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5">
        <v>41239.25</v>
      </c>
      <c r="O280" s="5">
        <v>41264.25</v>
      </c>
      <c r="P280" t="b">
        <v>0</v>
      </c>
      <c r="Q280" t="b">
        <v>0</v>
      </c>
      <c r="R280" t="s">
        <v>28</v>
      </c>
      <c r="S280" t="s">
        <v>2038</v>
      </c>
      <c r="T280" t="s">
        <v>2039</v>
      </c>
    </row>
    <row r="281" spans="1:20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4"/>
        <v>171</v>
      </c>
      <c r="G281" t="s">
        <v>20</v>
      </c>
      <c r="H281">
        <v>546</v>
      </c>
      <c r="I281" s="6"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5">
        <v>43346.208333333336</v>
      </c>
      <c r="O281" s="5">
        <v>43349.208333333336</v>
      </c>
      <c r="P281" t="b">
        <v>0</v>
      </c>
      <c r="Q281" t="b">
        <v>0</v>
      </c>
      <c r="R281" t="s">
        <v>33</v>
      </c>
      <c r="S281" t="s">
        <v>2040</v>
      </c>
      <c r="T281" t="s">
        <v>2041</v>
      </c>
    </row>
    <row r="282" spans="1:20" ht="31.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4"/>
        <v>581</v>
      </c>
      <c r="G282" t="s">
        <v>20</v>
      </c>
      <c r="H282">
        <v>393</v>
      </c>
      <c r="I282" s="6"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5">
        <v>43060.25</v>
      </c>
      <c r="O282" s="5">
        <v>43066.25</v>
      </c>
      <c r="P282" t="b">
        <v>0</v>
      </c>
      <c r="Q282" t="b">
        <v>0</v>
      </c>
      <c r="R282" t="s">
        <v>71</v>
      </c>
      <c r="S282" t="s">
        <v>2042</v>
      </c>
      <c r="T282" t="s">
        <v>2050</v>
      </c>
    </row>
    <row r="283" spans="1:20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4"/>
        <v>92</v>
      </c>
      <c r="G283" t="s">
        <v>14</v>
      </c>
      <c r="H283">
        <v>2062</v>
      </c>
      <c r="I283" s="6"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5">
        <v>40979.25</v>
      </c>
      <c r="O283" s="5">
        <v>41000.208333333336</v>
      </c>
      <c r="P283" t="b">
        <v>0</v>
      </c>
      <c r="Q283" t="b">
        <v>1</v>
      </c>
      <c r="R283" t="s">
        <v>33</v>
      </c>
      <c r="S283" t="s">
        <v>2040</v>
      </c>
      <c r="T283" t="s">
        <v>2041</v>
      </c>
    </row>
    <row r="284" spans="1:20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4"/>
        <v>108</v>
      </c>
      <c r="G284" t="s">
        <v>20</v>
      </c>
      <c r="H284">
        <v>133</v>
      </c>
      <c r="I284" s="6"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5">
        <v>42701.25</v>
      </c>
      <c r="O284" s="5">
        <v>42707.25</v>
      </c>
      <c r="P284" t="b">
        <v>0</v>
      </c>
      <c r="Q284" t="b">
        <v>1</v>
      </c>
      <c r="R284" t="s">
        <v>269</v>
      </c>
      <c r="S284" t="s">
        <v>2042</v>
      </c>
      <c r="T284" t="s">
        <v>2061</v>
      </c>
    </row>
    <row r="285" spans="1:20" ht="31.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4"/>
        <v>19</v>
      </c>
      <c r="G285" t="s">
        <v>14</v>
      </c>
      <c r="H285">
        <v>29</v>
      </c>
      <c r="I285" s="6"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5">
        <v>42520.208333333336</v>
      </c>
      <c r="O285" s="5">
        <v>42525.208333333336</v>
      </c>
      <c r="P285" t="b">
        <v>0</v>
      </c>
      <c r="Q285" t="b">
        <v>0</v>
      </c>
      <c r="R285" t="s">
        <v>23</v>
      </c>
      <c r="S285" t="s">
        <v>2036</v>
      </c>
      <c r="T285" t="s">
        <v>2037</v>
      </c>
    </row>
    <row r="286" spans="1:20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4"/>
        <v>83</v>
      </c>
      <c r="G286" t="s">
        <v>14</v>
      </c>
      <c r="H286">
        <v>132</v>
      </c>
      <c r="I286" s="6"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5">
        <v>41030.208333333336</v>
      </c>
      <c r="O286" s="5">
        <v>41035.208333333336</v>
      </c>
      <c r="P286" t="b">
        <v>0</v>
      </c>
      <c r="Q286" t="b">
        <v>0</v>
      </c>
      <c r="R286" t="s">
        <v>28</v>
      </c>
      <c r="S286" t="s">
        <v>2038</v>
      </c>
      <c r="T286" t="s">
        <v>2039</v>
      </c>
    </row>
    <row r="287" spans="1:20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4"/>
        <v>706</v>
      </c>
      <c r="G287" t="s">
        <v>20</v>
      </c>
      <c r="H287">
        <v>254</v>
      </c>
      <c r="I287" s="6"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5">
        <v>42623.208333333336</v>
      </c>
      <c r="O287" s="5">
        <v>42661.208333333336</v>
      </c>
      <c r="P287" t="b">
        <v>0</v>
      </c>
      <c r="Q287" t="b">
        <v>0</v>
      </c>
      <c r="R287" t="s">
        <v>33</v>
      </c>
      <c r="S287" t="s">
        <v>2040</v>
      </c>
      <c r="T287" t="s">
        <v>2041</v>
      </c>
    </row>
    <row r="288" spans="1:20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4"/>
        <v>17</v>
      </c>
      <c r="G288" t="s">
        <v>74</v>
      </c>
      <c r="H288">
        <v>184</v>
      </c>
      <c r="I288" s="6"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5">
        <v>42697.25</v>
      </c>
      <c r="O288" s="5">
        <v>42704.25</v>
      </c>
      <c r="P288" t="b">
        <v>0</v>
      </c>
      <c r="Q288" t="b">
        <v>0</v>
      </c>
      <c r="R288" t="s">
        <v>33</v>
      </c>
      <c r="S288" t="s">
        <v>2040</v>
      </c>
      <c r="T288" t="s">
        <v>2041</v>
      </c>
    </row>
    <row r="289" spans="1:20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4"/>
        <v>210</v>
      </c>
      <c r="G289" t="s">
        <v>20</v>
      </c>
      <c r="H289">
        <v>176</v>
      </c>
      <c r="I289" s="6"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5">
        <v>42122.208333333336</v>
      </c>
      <c r="O289" s="5">
        <v>42122.208333333336</v>
      </c>
      <c r="P289" t="b">
        <v>0</v>
      </c>
      <c r="Q289" t="b">
        <v>0</v>
      </c>
      <c r="R289" t="s">
        <v>50</v>
      </c>
      <c r="S289" t="s">
        <v>2036</v>
      </c>
      <c r="T289" t="s">
        <v>2044</v>
      </c>
    </row>
    <row r="290" spans="1:20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4"/>
        <v>98</v>
      </c>
      <c r="G290" t="s">
        <v>14</v>
      </c>
      <c r="H290">
        <v>137</v>
      </c>
      <c r="I290" s="6"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5">
        <v>40982.208333333336</v>
      </c>
      <c r="O290" s="5">
        <v>40983.208333333336</v>
      </c>
      <c r="P290" t="b">
        <v>0</v>
      </c>
      <c r="Q290" t="b">
        <v>1</v>
      </c>
      <c r="R290" t="s">
        <v>148</v>
      </c>
      <c r="S290" t="s">
        <v>2036</v>
      </c>
      <c r="T290" t="s">
        <v>2058</v>
      </c>
    </row>
    <row r="291" spans="1:20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4"/>
        <v>1684</v>
      </c>
      <c r="G291" t="s">
        <v>20</v>
      </c>
      <c r="H291">
        <v>337</v>
      </c>
      <c r="I291" s="6"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5">
        <v>42219.208333333336</v>
      </c>
      <c r="O291" s="5">
        <v>42222.208333333336</v>
      </c>
      <c r="P291" t="b">
        <v>0</v>
      </c>
      <c r="Q291" t="b">
        <v>0</v>
      </c>
      <c r="R291" t="s">
        <v>33</v>
      </c>
      <c r="S291" t="s">
        <v>2040</v>
      </c>
      <c r="T291" t="s">
        <v>2041</v>
      </c>
    </row>
    <row r="292" spans="1:20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4"/>
        <v>54</v>
      </c>
      <c r="G292" t="s">
        <v>14</v>
      </c>
      <c r="H292">
        <v>908</v>
      </c>
      <c r="I292" s="6"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5">
        <v>41404.208333333336</v>
      </c>
      <c r="O292" s="5">
        <v>41436.208333333336</v>
      </c>
      <c r="P292" t="b">
        <v>0</v>
      </c>
      <c r="Q292" t="b">
        <v>1</v>
      </c>
      <c r="R292" t="s">
        <v>42</v>
      </c>
      <c r="S292" t="s">
        <v>2042</v>
      </c>
      <c r="T292" t="s">
        <v>2043</v>
      </c>
    </row>
    <row r="293" spans="1:20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4"/>
        <v>457</v>
      </c>
      <c r="G293" t="s">
        <v>20</v>
      </c>
      <c r="H293">
        <v>107</v>
      </c>
      <c r="I293" s="6"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5">
        <v>40831.208333333336</v>
      </c>
      <c r="O293" s="5">
        <v>40835.208333333336</v>
      </c>
      <c r="P293" t="b">
        <v>1</v>
      </c>
      <c r="Q293" t="b">
        <v>0</v>
      </c>
      <c r="R293" t="s">
        <v>28</v>
      </c>
      <c r="S293" t="s">
        <v>2038</v>
      </c>
      <c r="T293" t="s">
        <v>2039</v>
      </c>
    </row>
    <row r="294" spans="1:20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4"/>
        <v>10</v>
      </c>
      <c r="G294" t="s">
        <v>14</v>
      </c>
      <c r="H294">
        <v>10</v>
      </c>
      <c r="I294" s="6">
        <v>71.7</v>
      </c>
      <c r="J294" t="s">
        <v>21</v>
      </c>
      <c r="K294" t="s">
        <v>22</v>
      </c>
      <c r="L294">
        <v>1331874000</v>
      </c>
      <c r="M294">
        <v>1333429200</v>
      </c>
      <c r="N294" s="5">
        <v>40984.208333333336</v>
      </c>
      <c r="O294" s="5">
        <v>41002.208333333336</v>
      </c>
      <c r="P294" t="b">
        <v>0</v>
      </c>
      <c r="Q294" t="b">
        <v>0</v>
      </c>
      <c r="R294" t="s">
        <v>17</v>
      </c>
      <c r="S294" t="s">
        <v>2034</v>
      </c>
      <c r="T294" t="s">
        <v>2035</v>
      </c>
    </row>
    <row r="295" spans="1:20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4"/>
        <v>16</v>
      </c>
      <c r="G295" t="s">
        <v>74</v>
      </c>
      <c r="H295">
        <v>32</v>
      </c>
      <c r="I295" s="6"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5">
        <v>40456.208333333336</v>
      </c>
      <c r="O295" s="5">
        <v>40465.208333333336</v>
      </c>
      <c r="P295" t="b">
        <v>0</v>
      </c>
      <c r="Q295" t="b">
        <v>0</v>
      </c>
      <c r="R295" t="s">
        <v>33</v>
      </c>
      <c r="S295" t="s">
        <v>2040</v>
      </c>
      <c r="T295" t="s">
        <v>2041</v>
      </c>
    </row>
    <row r="296" spans="1:20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4"/>
        <v>1340</v>
      </c>
      <c r="G296" t="s">
        <v>20</v>
      </c>
      <c r="H296">
        <v>183</v>
      </c>
      <c r="I296" s="6"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5">
        <v>43399.208333333336</v>
      </c>
      <c r="O296" s="5">
        <v>43411.25</v>
      </c>
      <c r="P296" t="b">
        <v>0</v>
      </c>
      <c r="Q296" t="b">
        <v>0</v>
      </c>
      <c r="R296" t="s">
        <v>33</v>
      </c>
      <c r="S296" t="s">
        <v>2040</v>
      </c>
      <c r="T296" t="s">
        <v>2041</v>
      </c>
    </row>
    <row r="297" spans="1:20" ht="31.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4"/>
        <v>36</v>
      </c>
      <c r="G297" t="s">
        <v>14</v>
      </c>
      <c r="H297">
        <v>1910</v>
      </c>
      <c r="I297" s="6"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5">
        <v>41562.208333333336</v>
      </c>
      <c r="O297" s="5">
        <v>41587.25</v>
      </c>
      <c r="P297" t="b">
        <v>0</v>
      </c>
      <c r="Q297" t="b">
        <v>0</v>
      </c>
      <c r="R297" t="s">
        <v>33</v>
      </c>
      <c r="S297" t="s">
        <v>2040</v>
      </c>
      <c r="T297" t="s">
        <v>2041</v>
      </c>
    </row>
    <row r="298" spans="1:20" ht="31.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4"/>
        <v>55</v>
      </c>
      <c r="G298" t="s">
        <v>14</v>
      </c>
      <c r="H298">
        <v>38</v>
      </c>
      <c r="I298" s="6"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5">
        <v>43493.25</v>
      </c>
      <c r="O298" s="5">
        <v>43515.25</v>
      </c>
      <c r="P298" t="b">
        <v>0</v>
      </c>
      <c r="Q298" t="b">
        <v>0</v>
      </c>
      <c r="R298" t="s">
        <v>33</v>
      </c>
      <c r="S298" t="s">
        <v>2040</v>
      </c>
      <c r="T298" t="s">
        <v>2041</v>
      </c>
    </row>
    <row r="299" spans="1:20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4"/>
        <v>94</v>
      </c>
      <c r="G299" t="s">
        <v>14</v>
      </c>
      <c r="H299">
        <v>104</v>
      </c>
      <c r="I299" s="6"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5">
        <v>41653.25</v>
      </c>
      <c r="O299" s="5">
        <v>41662.25</v>
      </c>
      <c r="P299" t="b">
        <v>0</v>
      </c>
      <c r="Q299" t="b">
        <v>1</v>
      </c>
      <c r="R299" t="s">
        <v>33</v>
      </c>
      <c r="S299" t="s">
        <v>2040</v>
      </c>
      <c r="T299" t="s">
        <v>2041</v>
      </c>
    </row>
    <row r="300" spans="1:20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4"/>
        <v>144</v>
      </c>
      <c r="G300" t="s">
        <v>20</v>
      </c>
      <c r="H300">
        <v>72</v>
      </c>
      <c r="I300" s="6"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5">
        <v>42426.25</v>
      </c>
      <c r="O300" s="5">
        <v>42444.208333333336</v>
      </c>
      <c r="P300" t="b">
        <v>0</v>
      </c>
      <c r="Q300" t="b">
        <v>1</v>
      </c>
      <c r="R300" t="s">
        <v>23</v>
      </c>
      <c r="S300" t="s">
        <v>2036</v>
      </c>
      <c r="T300" t="s">
        <v>2037</v>
      </c>
    </row>
    <row r="301" spans="1:20" ht="31.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4"/>
        <v>51</v>
      </c>
      <c r="G301" t="s">
        <v>14</v>
      </c>
      <c r="H301">
        <v>49</v>
      </c>
      <c r="I301" s="6"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5">
        <v>42432.25</v>
      </c>
      <c r="O301" s="5">
        <v>42488.208333333336</v>
      </c>
      <c r="P301" t="b">
        <v>0</v>
      </c>
      <c r="Q301" t="b">
        <v>0</v>
      </c>
      <c r="R301" t="s">
        <v>17</v>
      </c>
      <c r="S301" t="s">
        <v>2034</v>
      </c>
      <c r="T301" t="s">
        <v>2035</v>
      </c>
    </row>
    <row r="302" spans="1:20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4"/>
        <v>5</v>
      </c>
      <c r="G302" t="s">
        <v>14</v>
      </c>
      <c r="H302">
        <v>1</v>
      </c>
      <c r="I302" s="6">
        <v>5</v>
      </c>
      <c r="J302" t="s">
        <v>36</v>
      </c>
      <c r="K302" t="s">
        <v>37</v>
      </c>
      <c r="L302">
        <v>1504069200</v>
      </c>
      <c r="M302">
        <v>1504155600</v>
      </c>
      <c r="N302" s="5">
        <v>42977.208333333336</v>
      </c>
      <c r="O302" s="5">
        <v>42978.208333333336</v>
      </c>
      <c r="P302" t="b">
        <v>0</v>
      </c>
      <c r="Q302" t="b">
        <v>1</v>
      </c>
      <c r="R302" t="s">
        <v>68</v>
      </c>
      <c r="S302" t="s">
        <v>2048</v>
      </c>
      <c r="T302" t="s">
        <v>2049</v>
      </c>
    </row>
    <row r="303" spans="1:20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4"/>
        <v>1345</v>
      </c>
      <c r="G303" t="s">
        <v>20</v>
      </c>
      <c r="H303">
        <v>295</v>
      </c>
      <c r="I303" s="6"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5">
        <v>42061.25</v>
      </c>
      <c r="O303" s="5">
        <v>42078.208333333336</v>
      </c>
      <c r="P303" t="b">
        <v>0</v>
      </c>
      <c r="Q303" t="b">
        <v>0</v>
      </c>
      <c r="R303" t="s">
        <v>42</v>
      </c>
      <c r="S303" t="s">
        <v>2042</v>
      </c>
      <c r="T303" t="s">
        <v>2043</v>
      </c>
    </row>
    <row r="304" spans="1:20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4"/>
        <v>32</v>
      </c>
      <c r="G304" t="s">
        <v>14</v>
      </c>
      <c r="H304">
        <v>245</v>
      </c>
      <c r="I304" s="6"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5">
        <v>43345.208333333336</v>
      </c>
      <c r="O304" s="5">
        <v>43359.208333333336</v>
      </c>
      <c r="P304" t="b">
        <v>0</v>
      </c>
      <c r="Q304" t="b">
        <v>0</v>
      </c>
      <c r="R304" t="s">
        <v>33</v>
      </c>
      <c r="S304" t="s">
        <v>2040</v>
      </c>
      <c r="T304" t="s">
        <v>2041</v>
      </c>
    </row>
    <row r="305" spans="1:20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4"/>
        <v>83</v>
      </c>
      <c r="G305" t="s">
        <v>14</v>
      </c>
      <c r="H305">
        <v>32</v>
      </c>
      <c r="I305" s="6">
        <v>87.78125</v>
      </c>
      <c r="J305" t="s">
        <v>21</v>
      </c>
      <c r="K305" t="s">
        <v>22</v>
      </c>
      <c r="L305">
        <v>1452146400</v>
      </c>
      <c r="M305">
        <v>1452578400</v>
      </c>
      <c r="N305" s="5">
        <v>42376.25</v>
      </c>
      <c r="O305" s="5">
        <v>42381.25</v>
      </c>
      <c r="P305" t="b">
        <v>0</v>
      </c>
      <c r="Q305" t="b">
        <v>0</v>
      </c>
      <c r="R305" t="s">
        <v>60</v>
      </c>
      <c r="S305" t="s">
        <v>2036</v>
      </c>
      <c r="T305" t="s">
        <v>2046</v>
      </c>
    </row>
    <row r="306" spans="1:20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4"/>
        <v>546</v>
      </c>
      <c r="G306" t="s">
        <v>20</v>
      </c>
      <c r="H306">
        <v>142</v>
      </c>
      <c r="I306" s="6"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5">
        <v>42589.208333333336</v>
      </c>
      <c r="O306" s="5">
        <v>42630.208333333336</v>
      </c>
      <c r="P306" t="b">
        <v>0</v>
      </c>
      <c r="Q306" t="b">
        <v>0</v>
      </c>
      <c r="R306" t="s">
        <v>42</v>
      </c>
      <c r="S306" t="s">
        <v>2042</v>
      </c>
      <c r="T306" t="s">
        <v>2043</v>
      </c>
    </row>
    <row r="307" spans="1:20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4"/>
        <v>286</v>
      </c>
      <c r="G307" t="s">
        <v>20</v>
      </c>
      <c r="H307">
        <v>85</v>
      </c>
      <c r="I307" s="6"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5">
        <v>42448.208333333336</v>
      </c>
      <c r="O307" s="5">
        <v>42489.208333333336</v>
      </c>
      <c r="P307" t="b">
        <v>0</v>
      </c>
      <c r="Q307" t="b">
        <v>0</v>
      </c>
      <c r="R307" t="s">
        <v>33</v>
      </c>
      <c r="S307" t="s">
        <v>2040</v>
      </c>
      <c r="T307" t="s">
        <v>2041</v>
      </c>
    </row>
    <row r="308" spans="1:20" ht="31.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4"/>
        <v>8</v>
      </c>
      <c r="G308" t="s">
        <v>14</v>
      </c>
      <c r="H308">
        <v>7</v>
      </c>
      <c r="I308" s="6"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5">
        <v>42930.208333333336</v>
      </c>
      <c r="O308" s="5">
        <v>42933.208333333336</v>
      </c>
      <c r="P308" t="b">
        <v>0</v>
      </c>
      <c r="Q308" t="b">
        <v>1</v>
      </c>
      <c r="R308" t="s">
        <v>33</v>
      </c>
      <c r="S308" t="s">
        <v>2040</v>
      </c>
      <c r="T308" t="s">
        <v>2041</v>
      </c>
    </row>
    <row r="309" spans="1:20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4"/>
        <v>132</v>
      </c>
      <c r="G309" t="s">
        <v>20</v>
      </c>
      <c r="H309">
        <v>659</v>
      </c>
      <c r="I309" s="6"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5">
        <v>41066.208333333336</v>
      </c>
      <c r="O309" s="5">
        <v>41086.208333333336</v>
      </c>
      <c r="P309" t="b">
        <v>0</v>
      </c>
      <c r="Q309" t="b">
        <v>1</v>
      </c>
      <c r="R309" t="s">
        <v>119</v>
      </c>
      <c r="S309" t="s">
        <v>2048</v>
      </c>
      <c r="T309" t="s">
        <v>2054</v>
      </c>
    </row>
    <row r="310" spans="1:20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4"/>
        <v>74</v>
      </c>
      <c r="G310" t="s">
        <v>14</v>
      </c>
      <c r="H310">
        <v>803</v>
      </c>
      <c r="I310" s="6"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5">
        <v>40651.208333333336</v>
      </c>
      <c r="O310" s="5">
        <v>40652.208333333336</v>
      </c>
      <c r="P310" t="b">
        <v>0</v>
      </c>
      <c r="Q310" t="b">
        <v>0</v>
      </c>
      <c r="R310" t="s">
        <v>33</v>
      </c>
      <c r="S310" t="s">
        <v>2040</v>
      </c>
      <c r="T310" t="s">
        <v>2041</v>
      </c>
    </row>
    <row r="311" spans="1:20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4"/>
        <v>75</v>
      </c>
      <c r="G311" t="s">
        <v>74</v>
      </c>
      <c r="H311">
        <v>75</v>
      </c>
      <c r="I311" s="6">
        <v>41.16</v>
      </c>
      <c r="J311" t="s">
        <v>21</v>
      </c>
      <c r="K311" t="s">
        <v>22</v>
      </c>
      <c r="L311">
        <v>1316581200</v>
      </c>
      <c r="M311">
        <v>1318309200</v>
      </c>
      <c r="N311" s="5">
        <v>40807.208333333336</v>
      </c>
      <c r="O311" s="5">
        <v>40827.208333333336</v>
      </c>
      <c r="P311" t="b">
        <v>0</v>
      </c>
      <c r="Q311" t="b">
        <v>1</v>
      </c>
      <c r="R311" t="s">
        <v>60</v>
      </c>
      <c r="S311" t="s">
        <v>2036</v>
      </c>
      <c r="T311" t="s">
        <v>2046</v>
      </c>
    </row>
    <row r="312" spans="1:20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4"/>
        <v>20</v>
      </c>
      <c r="G312" t="s">
        <v>14</v>
      </c>
      <c r="H312">
        <v>16</v>
      </c>
      <c r="I312" s="6">
        <v>99.125</v>
      </c>
      <c r="J312" t="s">
        <v>21</v>
      </c>
      <c r="K312" t="s">
        <v>22</v>
      </c>
      <c r="L312">
        <v>1270789200</v>
      </c>
      <c r="M312">
        <v>1272171600</v>
      </c>
      <c r="N312" s="5">
        <v>40277.208333333336</v>
      </c>
      <c r="O312" s="5">
        <v>40293.208333333336</v>
      </c>
      <c r="P312" t="b">
        <v>0</v>
      </c>
      <c r="Q312" t="b">
        <v>0</v>
      </c>
      <c r="R312" t="s">
        <v>89</v>
      </c>
      <c r="S312" t="s">
        <v>2051</v>
      </c>
      <c r="T312" t="s">
        <v>2052</v>
      </c>
    </row>
    <row r="313" spans="1:20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4"/>
        <v>203</v>
      </c>
      <c r="G313" t="s">
        <v>20</v>
      </c>
      <c r="H313">
        <v>121</v>
      </c>
      <c r="I313" s="6"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5">
        <v>40590.25</v>
      </c>
      <c r="O313" s="5">
        <v>40602.25</v>
      </c>
      <c r="P313" t="b">
        <v>0</v>
      </c>
      <c r="Q313" t="b">
        <v>0</v>
      </c>
      <c r="R313" t="s">
        <v>33</v>
      </c>
      <c r="S313" t="s">
        <v>2040</v>
      </c>
      <c r="T313" t="s">
        <v>2041</v>
      </c>
    </row>
    <row r="314" spans="1:20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4"/>
        <v>310</v>
      </c>
      <c r="G314" t="s">
        <v>20</v>
      </c>
      <c r="H314">
        <v>3742</v>
      </c>
      <c r="I314" s="6"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5">
        <v>41572.208333333336</v>
      </c>
      <c r="O314" s="5">
        <v>41579.208333333336</v>
      </c>
      <c r="P314" t="b">
        <v>0</v>
      </c>
      <c r="Q314" t="b">
        <v>0</v>
      </c>
      <c r="R314" t="s">
        <v>33</v>
      </c>
      <c r="S314" t="s">
        <v>2040</v>
      </c>
      <c r="T314" t="s">
        <v>2041</v>
      </c>
    </row>
    <row r="315" spans="1:20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4"/>
        <v>395</v>
      </c>
      <c r="G315" t="s">
        <v>20</v>
      </c>
      <c r="H315">
        <v>223</v>
      </c>
      <c r="I315" s="6">
        <v>39</v>
      </c>
      <c r="J315" t="s">
        <v>21</v>
      </c>
      <c r="K315" t="s">
        <v>22</v>
      </c>
      <c r="L315">
        <v>1330322400</v>
      </c>
      <c r="M315">
        <v>1330495200</v>
      </c>
      <c r="N315" s="5">
        <v>40966.25</v>
      </c>
      <c r="O315" s="5">
        <v>40968.25</v>
      </c>
      <c r="P315" t="b">
        <v>0</v>
      </c>
      <c r="Q315" t="b">
        <v>0</v>
      </c>
      <c r="R315" t="s">
        <v>23</v>
      </c>
      <c r="S315" t="s">
        <v>2036</v>
      </c>
      <c r="T315" t="s">
        <v>2037</v>
      </c>
    </row>
    <row r="316" spans="1:20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4"/>
        <v>295</v>
      </c>
      <c r="G316" t="s">
        <v>20</v>
      </c>
      <c r="H316">
        <v>133</v>
      </c>
      <c r="I316" s="6"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5">
        <v>43536.208333333336</v>
      </c>
      <c r="O316" s="5">
        <v>43541.208333333336</v>
      </c>
      <c r="P316" t="b">
        <v>0</v>
      </c>
      <c r="Q316" t="b">
        <v>1</v>
      </c>
      <c r="R316" t="s">
        <v>42</v>
      </c>
      <c r="S316" t="s">
        <v>2042</v>
      </c>
      <c r="T316" t="s">
        <v>2043</v>
      </c>
    </row>
    <row r="317" spans="1:20" ht="31.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4"/>
        <v>34</v>
      </c>
      <c r="G317" t="s">
        <v>14</v>
      </c>
      <c r="H317">
        <v>31</v>
      </c>
      <c r="I317" s="6"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5">
        <v>41783.208333333336</v>
      </c>
      <c r="O317" s="5">
        <v>41812.208333333336</v>
      </c>
      <c r="P317" t="b">
        <v>0</v>
      </c>
      <c r="Q317" t="b">
        <v>0</v>
      </c>
      <c r="R317" t="s">
        <v>33</v>
      </c>
      <c r="S317" t="s">
        <v>2040</v>
      </c>
      <c r="T317" t="s">
        <v>2041</v>
      </c>
    </row>
    <row r="318" spans="1:20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4"/>
        <v>67</v>
      </c>
      <c r="G318" t="s">
        <v>14</v>
      </c>
      <c r="H318">
        <v>108</v>
      </c>
      <c r="I318" s="6"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5">
        <v>43788.25</v>
      </c>
      <c r="O318" s="5">
        <v>43789.25</v>
      </c>
      <c r="P318" t="b">
        <v>0</v>
      </c>
      <c r="Q318" t="b">
        <v>1</v>
      </c>
      <c r="R318" t="s">
        <v>17</v>
      </c>
      <c r="S318" t="s">
        <v>2034</v>
      </c>
      <c r="T318" t="s">
        <v>2035</v>
      </c>
    </row>
    <row r="319" spans="1:20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4"/>
        <v>19</v>
      </c>
      <c r="G319" t="s">
        <v>14</v>
      </c>
      <c r="H319">
        <v>30</v>
      </c>
      <c r="I319" s="6">
        <v>42.3</v>
      </c>
      <c r="J319" t="s">
        <v>21</v>
      </c>
      <c r="K319" t="s">
        <v>22</v>
      </c>
      <c r="L319">
        <v>1494738000</v>
      </c>
      <c r="M319">
        <v>1495861200</v>
      </c>
      <c r="N319" s="5">
        <v>42869.208333333336</v>
      </c>
      <c r="O319" s="5">
        <v>42882.208333333336</v>
      </c>
      <c r="P319" t="b">
        <v>0</v>
      </c>
      <c r="Q319" t="b">
        <v>0</v>
      </c>
      <c r="R319" t="s">
        <v>33</v>
      </c>
      <c r="S319" t="s">
        <v>2040</v>
      </c>
      <c r="T319" t="s">
        <v>2041</v>
      </c>
    </row>
    <row r="320" spans="1:20" ht="31.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4"/>
        <v>16</v>
      </c>
      <c r="G320" t="s">
        <v>14</v>
      </c>
      <c r="H320">
        <v>17</v>
      </c>
      <c r="I320" s="6"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5">
        <v>41684.25</v>
      </c>
      <c r="O320" s="5">
        <v>41686.25</v>
      </c>
      <c r="P320" t="b">
        <v>0</v>
      </c>
      <c r="Q320" t="b">
        <v>0</v>
      </c>
      <c r="R320" t="s">
        <v>23</v>
      </c>
      <c r="S320" t="s">
        <v>2036</v>
      </c>
      <c r="T320" t="s">
        <v>2037</v>
      </c>
    </row>
    <row r="321" spans="1:20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4"/>
        <v>39</v>
      </c>
      <c r="G321" t="s">
        <v>74</v>
      </c>
      <c r="H321">
        <v>64</v>
      </c>
      <c r="I321" s="6">
        <v>50.796875</v>
      </c>
      <c r="J321" t="s">
        <v>21</v>
      </c>
      <c r="K321" t="s">
        <v>22</v>
      </c>
      <c r="L321">
        <v>1281589200</v>
      </c>
      <c r="M321">
        <v>1283662800</v>
      </c>
      <c r="N321" s="5">
        <v>40402.208333333336</v>
      </c>
      <c r="O321" s="5">
        <v>40426.208333333336</v>
      </c>
      <c r="P321" t="b">
        <v>0</v>
      </c>
      <c r="Q321" t="b">
        <v>0</v>
      </c>
      <c r="R321" t="s">
        <v>28</v>
      </c>
      <c r="S321" t="s">
        <v>2038</v>
      </c>
      <c r="T321" t="s">
        <v>2039</v>
      </c>
    </row>
    <row r="322" spans="1:20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4"/>
        <v>10</v>
      </c>
      <c r="G322" t="s">
        <v>14</v>
      </c>
      <c r="H322">
        <v>80</v>
      </c>
      <c r="I322" s="6">
        <v>101.15</v>
      </c>
      <c r="J322" t="s">
        <v>21</v>
      </c>
      <c r="K322" t="s">
        <v>22</v>
      </c>
      <c r="L322">
        <v>1305003600</v>
      </c>
      <c r="M322">
        <v>1305781200</v>
      </c>
      <c r="N322" s="5">
        <v>40673.208333333336</v>
      </c>
      <c r="O322" s="5">
        <v>40682.208333333336</v>
      </c>
      <c r="P322" t="b">
        <v>0</v>
      </c>
      <c r="Q322" t="b">
        <v>0</v>
      </c>
      <c r="R322" t="s">
        <v>119</v>
      </c>
      <c r="S322" t="s">
        <v>2048</v>
      </c>
      <c r="T322" t="s">
        <v>2054</v>
      </c>
    </row>
    <row r="323" spans="1:20" ht="31.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si="4"/>
        <v>94</v>
      </c>
      <c r="G323" t="s">
        <v>14</v>
      </c>
      <c r="H323">
        <v>2468</v>
      </c>
      <c r="I323" s="6"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5">
        <v>40634.208333333336</v>
      </c>
      <c r="O323" s="5">
        <v>40642.208333333336</v>
      </c>
      <c r="P323" t="b">
        <v>0</v>
      </c>
      <c r="Q323" t="b">
        <v>0</v>
      </c>
      <c r="R323" t="s">
        <v>100</v>
      </c>
      <c r="S323" t="s">
        <v>2042</v>
      </c>
      <c r="T323" t="s">
        <v>2053</v>
      </c>
    </row>
    <row r="324" spans="1:20" ht="31.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ref="F324:F387" si="5">ROUND(E324/D324*100,0)</f>
        <v>167</v>
      </c>
      <c r="G324" t="s">
        <v>20</v>
      </c>
      <c r="H324">
        <v>5168</v>
      </c>
      <c r="I324" s="6"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5">
        <v>40507.25</v>
      </c>
      <c r="O324" s="5">
        <v>40520.25</v>
      </c>
      <c r="P324" t="b">
        <v>0</v>
      </c>
      <c r="Q324" t="b">
        <v>0</v>
      </c>
      <c r="R324" t="s">
        <v>33</v>
      </c>
      <c r="S324" t="s">
        <v>2040</v>
      </c>
      <c r="T324" t="s">
        <v>2041</v>
      </c>
    </row>
    <row r="325" spans="1:20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5"/>
        <v>24</v>
      </c>
      <c r="G325" t="s">
        <v>14</v>
      </c>
      <c r="H325">
        <v>26</v>
      </c>
      <c r="I325" s="6"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5">
        <v>41725.208333333336</v>
      </c>
      <c r="O325" s="5">
        <v>41727.208333333336</v>
      </c>
      <c r="P325" t="b">
        <v>0</v>
      </c>
      <c r="Q325" t="b">
        <v>0</v>
      </c>
      <c r="R325" t="s">
        <v>42</v>
      </c>
      <c r="S325" t="s">
        <v>2042</v>
      </c>
      <c r="T325" t="s">
        <v>2043</v>
      </c>
    </row>
    <row r="326" spans="1:20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5"/>
        <v>164</v>
      </c>
      <c r="G326" t="s">
        <v>20</v>
      </c>
      <c r="H326">
        <v>307</v>
      </c>
      <c r="I326" s="6"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5">
        <v>42176.208333333336</v>
      </c>
      <c r="O326" s="5">
        <v>42188.208333333336</v>
      </c>
      <c r="P326" t="b">
        <v>0</v>
      </c>
      <c r="Q326" t="b">
        <v>1</v>
      </c>
      <c r="R326" t="s">
        <v>33</v>
      </c>
      <c r="S326" t="s">
        <v>2040</v>
      </c>
      <c r="T326" t="s">
        <v>2041</v>
      </c>
    </row>
    <row r="327" spans="1:20" ht="31.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5"/>
        <v>91</v>
      </c>
      <c r="G327" t="s">
        <v>14</v>
      </c>
      <c r="H327">
        <v>73</v>
      </c>
      <c r="I327" s="6"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5">
        <v>43267.208333333336</v>
      </c>
      <c r="O327" s="5">
        <v>43290.208333333336</v>
      </c>
      <c r="P327" t="b">
        <v>0</v>
      </c>
      <c r="Q327" t="b">
        <v>1</v>
      </c>
      <c r="R327" t="s">
        <v>33</v>
      </c>
      <c r="S327" t="s">
        <v>2040</v>
      </c>
      <c r="T327" t="s">
        <v>2041</v>
      </c>
    </row>
    <row r="328" spans="1:20" ht="31.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5"/>
        <v>46</v>
      </c>
      <c r="G328" t="s">
        <v>14</v>
      </c>
      <c r="H328">
        <v>128</v>
      </c>
      <c r="I328" s="6">
        <v>25.984375</v>
      </c>
      <c r="J328" t="s">
        <v>21</v>
      </c>
      <c r="K328" t="s">
        <v>22</v>
      </c>
      <c r="L328">
        <v>1451109600</v>
      </c>
      <c r="M328">
        <v>1451628000</v>
      </c>
      <c r="N328" s="5">
        <v>42364.25</v>
      </c>
      <c r="O328" s="5">
        <v>42370.25</v>
      </c>
      <c r="P328" t="b">
        <v>0</v>
      </c>
      <c r="Q328" t="b">
        <v>0</v>
      </c>
      <c r="R328" t="s">
        <v>71</v>
      </c>
      <c r="S328" t="s">
        <v>2042</v>
      </c>
      <c r="T328" t="s">
        <v>2050</v>
      </c>
    </row>
    <row r="329" spans="1:20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5"/>
        <v>39</v>
      </c>
      <c r="G329" t="s">
        <v>14</v>
      </c>
      <c r="H329">
        <v>33</v>
      </c>
      <c r="I329" s="6"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5">
        <v>43705.208333333336</v>
      </c>
      <c r="O329" s="5">
        <v>43709.208333333336</v>
      </c>
      <c r="P329" t="b">
        <v>0</v>
      </c>
      <c r="Q329" t="b">
        <v>1</v>
      </c>
      <c r="R329" t="s">
        <v>33</v>
      </c>
      <c r="S329" t="s">
        <v>2040</v>
      </c>
      <c r="T329" t="s">
        <v>2041</v>
      </c>
    </row>
    <row r="330" spans="1:20" ht="31.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5"/>
        <v>134</v>
      </c>
      <c r="G330" t="s">
        <v>20</v>
      </c>
      <c r="H330">
        <v>2441</v>
      </c>
      <c r="I330" s="6"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5">
        <v>43434.25</v>
      </c>
      <c r="O330" s="5">
        <v>43445.25</v>
      </c>
      <c r="P330" t="b">
        <v>0</v>
      </c>
      <c r="Q330" t="b">
        <v>0</v>
      </c>
      <c r="R330" t="s">
        <v>23</v>
      </c>
      <c r="S330" t="s">
        <v>2036</v>
      </c>
      <c r="T330" t="s">
        <v>2037</v>
      </c>
    </row>
    <row r="331" spans="1:20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5"/>
        <v>23</v>
      </c>
      <c r="G331" t="s">
        <v>47</v>
      </c>
      <c r="H331">
        <v>211</v>
      </c>
      <c r="I331" s="6"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5">
        <v>42716.25</v>
      </c>
      <c r="O331" s="5">
        <v>42727.25</v>
      </c>
      <c r="P331" t="b">
        <v>0</v>
      </c>
      <c r="Q331" t="b">
        <v>0</v>
      </c>
      <c r="R331" t="s">
        <v>89</v>
      </c>
      <c r="S331" t="s">
        <v>2051</v>
      </c>
      <c r="T331" t="s">
        <v>2052</v>
      </c>
    </row>
    <row r="332" spans="1:20" ht="31.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5"/>
        <v>185</v>
      </c>
      <c r="G332" t="s">
        <v>20</v>
      </c>
      <c r="H332">
        <v>1385</v>
      </c>
      <c r="I332" s="6"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5">
        <v>43077.25</v>
      </c>
      <c r="O332" s="5">
        <v>43078.25</v>
      </c>
      <c r="P332" t="b">
        <v>0</v>
      </c>
      <c r="Q332" t="b">
        <v>0</v>
      </c>
      <c r="R332" t="s">
        <v>42</v>
      </c>
      <c r="S332" t="s">
        <v>2042</v>
      </c>
      <c r="T332" t="s">
        <v>2043</v>
      </c>
    </row>
    <row r="333" spans="1:20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5"/>
        <v>444</v>
      </c>
      <c r="G333" t="s">
        <v>20</v>
      </c>
      <c r="H333">
        <v>190</v>
      </c>
      <c r="I333" s="6"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5">
        <v>40896.25</v>
      </c>
      <c r="O333" s="5">
        <v>40897.25</v>
      </c>
      <c r="P333" t="b">
        <v>0</v>
      </c>
      <c r="Q333" t="b">
        <v>0</v>
      </c>
      <c r="R333" t="s">
        <v>17</v>
      </c>
      <c r="S333" t="s">
        <v>2034</v>
      </c>
      <c r="T333" t="s">
        <v>2035</v>
      </c>
    </row>
    <row r="334" spans="1:20" ht="31.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5"/>
        <v>200</v>
      </c>
      <c r="G334" t="s">
        <v>20</v>
      </c>
      <c r="H334">
        <v>470</v>
      </c>
      <c r="I334" s="6"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5">
        <v>41361.208333333336</v>
      </c>
      <c r="O334" s="5">
        <v>41362.208333333336</v>
      </c>
      <c r="P334" t="b">
        <v>0</v>
      </c>
      <c r="Q334" t="b">
        <v>0</v>
      </c>
      <c r="R334" t="s">
        <v>65</v>
      </c>
      <c r="S334" t="s">
        <v>2038</v>
      </c>
      <c r="T334" t="s">
        <v>2047</v>
      </c>
    </row>
    <row r="335" spans="1:20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5"/>
        <v>124</v>
      </c>
      <c r="G335" t="s">
        <v>20</v>
      </c>
      <c r="H335">
        <v>253</v>
      </c>
      <c r="I335" s="6"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5">
        <v>43424.25</v>
      </c>
      <c r="O335" s="5">
        <v>43452.25</v>
      </c>
      <c r="P335" t="b">
        <v>0</v>
      </c>
      <c r="Q335" t="b">
        <v>0</v>
      </c>
      <c r="R335" t="s">
        <v>33</v>
      </c>
      <c r="S335" t="s">
        <v>2040</v>
      </c>
      <c r="T335" t="s">
        <v>2041</v>
      </c>
    </row>
    <row r="336" spans="1:20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5"/>
        <v>187</v>
      </c>
      <c r="G336" t="s">
        <v>20</v>
      </c>
      <c r="H336">
        <v>1113</v>
      </c>
      <c r="I336" s="6"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5">
        <v>43110.25</v>
      </c>
      <c r="O336" s="5">
        <v>43117.25</v>
      </c>
      <c r="P336" t="b">
        <v>0</v>
      </c>
      <c r="Q336" t="b">
        <v>0</v>
      </c>
      <c r="R336" t="s">
        <v>23</v>
      </c>
      <c r="S336" t="s">
        <v>2036</v>
      </c>
      <c r="T336" t="s">
        <v>2037</v>
      </c>
    </row>
    <row r="337" spans="1:20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5"/>
        <v>114</v>
      </c>
      <c r="G337" t="s">
        <v>20</v>
      </c>
      <c r="H337">
        <v>2283</v>
      </c>
      <c r="I337" s="6"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5">
        <v>43784.25</v>
      </c>
      <c r="O337" s="5">
        <v>43797.25</v>
      </c>
      <c r="P337" t="b">
        <v>0</v>
      </c>
      <c r="Q337" t="b">
        <v>0</v>
      </c>
      <c r="R337" t="s">
        <v>23</v>
      </c>
      <c r="S337" t="s">
        <v>2036</v>
      </c>
      <c r="T337" t="s">
        <v>2037</v>
      </c>
    </row>
    <row r="338" spans="1:20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5"/>
        <v>97</v>
      </c>
      <c r="G338" t="s">
        <v>14</v>
      </c>
      <c r="H338">
        <v>1072</v>
      </c>
      <c r="I338" s="6"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5">
        <v>40527.25</v>
      </c>
      <c r="O338" s="5">
        <v>40528.25</v>
      </c>
      <c r="P338" t="b">
        <v>0</v>
      </c>
      <c r="Q338" t="b">
        <v>1</v>
      </c>
      <c r="R338" t="s">
        <v>23</v>
      </c>
      <c r="S338" t="s">
        <v>2036</v>
      </c>
      <c r="T338" t="s">
        <v>2037</v>
      </c>
    </row>
    <row r="339" spans="1:20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5"/>
        <v>123</v>
      </c>
      <c r="G339" t="s">
        <v>20</v>
      </c>
      <c r="H339">
        <v>1095</v>
      </c>
      <c r="I339" s="6"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5">
        <v>43780.25</v>
      </c>
      <c r="O339" s="5">
        <v>43781.25</v>
      </c>
      <c r="P339" t="b">
        <v>0</v>
      </c>
      <c r="Q339" t="b">
        <v>0</v>
      </c>
      <c r="R339" t="s">
        <v>33</v>
      </c>
      <c r="S339" t="s">
        <v>2040</v>
      </c>
      <c r="T339" t="s">
        <v>2041</v>
      </c>
    </row>
    <row r="340" spans="1:20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5"/>
        <v>179</v>
      </c>
      <c r="G340" t="s">
        <v>20</v>
      </c>
      <c r="H340">
        <v>1690</v>
      </c>
      <c r="I340" s="6"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5">
        <v>40821.208333333336</v>
      </c>
      <c r="O340" s="5">
        <v>40851.208333333336</v>
      </c>
      <c r="P340" t="b">
        <v>0</v>
      </c>
      <c r="Q340" t="b">
        <v>0</v>
      </c>
      <c r="R340" t="s">
        <v>33</v>
      </c>
      <c r="S340" t="s">
        <v>2040</v>
      </c>
      <c r="T340" t="s">
        <v>2041</v>
      </c>
    </row>
    <row r="341" spans="1:20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5"/>
        <v>80</v>
      </c>
      <c r="G341" t="s">
        <v>74</v>
      </c>
      <c r="H341">
        <v>1297</v>
      </c>
      <c r="I341" s="6"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5">
        <v>42949.208333333336</v>
      </c>
      <c r="O341" s="5">
        <v>42963.208333333336</v>
      </c>
      <c r="P341" t="b">
        <v>0</v>
      </c>
      <c r="Q341" t="b">
        <v>0</v>
      </c>
      <c r="R341" t="s">
        <v>33</v>
      </c>
      <c r="S341" t="s">
        <v>2040</v>
      </c>
      <c r="T341" t="s">
        <v>2041</v>
      </c>
    </row>
    <row r="342" spans="1:20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5"/>
        <v>94</v>
      </c>
      <c r="G342" t="s">
        <v>14</v>
      </c>
      <c r="H342">
        <v>393</v>
      </c>
      <c r="I342" s="6"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5">
        <v>40889.25</v>
      </c>
      <c r="O342" s="5">
        <v>40890.25</v>
      </c>
      <c r="P342" t="b">
        <v>0</v>
      </c>
      <c r="Q342" t="b">
        <v>0</v>
      </c>
      <c r="R342" t="s">
        <v>122</v>
      </c>
      <c r="S342" t="s">
        <v>2055</v>
      </c>
      <c r="T342" t="s">
        <v>2056</v>
      </c>
    </row>
    <row r="343" spans="1:20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5"/>
        <v>85</v>
      </c>
      <c r="G343" t="s">
        <v>14</v>
      </c>
      <c r="H343">
        <v>1257</v>
      </c>
      <c r="I343" s="6"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5">
        <v>42244.208333333336</v>
      </c>
      <c r="O343" s="5">
        <v>42251.208333333336</v>
      </c>
      <c r="P343" t="b">
        <v>0</v>
      </c>
      <c r="Q343" t="b">
        <v>0</v>
      </c>
      <c r="R343" t="s">
        <v>60</v>
      </c>
      <c r="S343" t="s">
        <v>2036</v>
      </c>
      <c r="T343" t="s">
        <v>2046</v>
      </c>
    </row>
    <row r="344" spans="1:20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5"/>
        <v>67</v>
      </c>
      <c r="G344" t="s">
        <v>14</v>
      </c>
      <c r="H344">
        <v>328</v>
      </c>
      <c r="I344" s="6"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5">
        <v>41475.208333333336</v>
      </c>
      <c r="O344" s="5">
        <v>41487.208333333336</v>
      </c>
      <c r="P344" t="b">
        <v>0</v>
      </c>
      <c r="Q344" t="b">
        <v>0</v>
      </c>
      <c r="R344" t="s">
        <v>33</v>
      </c>
      <c r="S344" t="s">
        <v>2040</v>
      </c>
      <c r="T344" t="s">
        <v>2041</v>
      </c>
    </row>
    <row r="345" spans="1:20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5"/>
        <v>54</v>
      </c>
      <c r="G345" t="s">
        <v>14</v>
      </c>
      <c r="H345">
        <v>147</v>
      </c>
      <c r="I345" s="6"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5">
        <v>41597.25</v>
      </c>
      <c r="O345" s="5">
        <v>41650.25</v>
      </c>
      <c r="P345" t="b">
        <v>0</v>
      </c>
      <c r="Q345" t="b">
        <v>0</v>
      </c>
      <c r="R345" t="s">
        <v>33</v>
      </c>
      <c r="S345" t="s">
        <v>2040</v>
      </c>
      <c r="T345" t="s">
        <v>2041</v>
      </c>
    </row>
    <row r="346" spans="1:20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5"/>
        <v>42</v>
      </c>
      <c r="G346" t="s">
        <v>14</v>
      </c>
      <c r="H346">
        <v>830</v>
      </c>
      <c r="I346" s="6"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5">
        <v>43122.25</v>
      </c>
      <c r="O346" s="5">
        <v>43162.25</v>
      </c>
      <c r="P346" t="b">
        <v>0</v>
      </c>
      <c r="Q346" t="b">
        <v>0</v>
      </c>
      <c r="R346" t="s">
        <v>89</v>
      </c>
      <c r="S346" t="s">
        <v>2051</v>
      </c>
      <c r="T346" t="s">
        <v>2052</v>
      </c>
    </row>
    <row r="347" spans="1:20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5"/>
        <v>15</v>
      </c>
      <c r="G347" t="s">
        <v>14</v>
      </c>
      <c r="H347">
        <v>331</v>
      </c>
      <c r="I347" s="6"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5">
        <v>42194.208333333336</v>
      </c>
      <c r="O347" s="5">
        <v>42195.208333333336</v>
      </c>
      <c r="P347" t="b">
        <v>0</v>
      </c>
      <c r="Q347" t="b">
        <v>0</v>
      </c>
      <c r="R347" t="s">
        <v>53</v>
      </c>
      <c r="S347" t="s">
        <v>2042</v>
      </c>
      <c r="T347" t="s">
        <v>2045</v>
      </c>
    </row>
    <row r="348" spans="1:20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5"/>
        <v>34</v>
      </c>
      <c r="G348" t="s">
        <v>14</v>
      </c>
      <c r="H348">
        <v>25</v>
      </c>
      <c r="I348" s="6">
        <v>110.32</v>
      </c>
      <c r="J348" t="s">
        <v>21</v>
      </c>
      <c r="K348" t="s">
        <v>22</v>
      </c>
      <c r="L348">
        <v>1503550800</v>
      </c>
      <c r="M348">
        <v>1508302800</v>
      </c>
      <c r="N348" s="5">
        <v>42971.208333333336</v>
      </c>
      <c r="O348" s="5">
        <v>43026.208333333336</v>
      </c>
      <c r="P348" t="b">
        <v>0</v>
      </c>
      <c r="Q348" t="b">
        <v>1</v>
      </c>
      <c r="R348" t="s">
        <v>60</v>
      </c>
      <c r="S348" t="s">
        <v>2036</v>
      </c>
      <c r="T348" t="s">
        <v>2046</v>
      </c>
    </row>
    <row r="349" spans="1:20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5"/>
        <v>1401</v>
      </c>
      <c r="G349" t="s">
        <v>20</v>
      </c>
      <c r="H349">
        <v>191</v>
      </c>
      <c r="I349" s="6"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5">
        <v>42046.25</v>
      </c>
      <c r="O349" s="5">
        <v>42070.25</v>
      </c>
      <c r="P349" t="b">
        <v>0</v>
      </c>
      <c r="Q349" t="b">
        <v>0</v>
      </c>
      <c r="R349" t="s">
        <v>28</v>
      </c>
      <c r="S349" t="s">
        <v>2038</v>
      </c>
      <c r="T349" t="s">
        <v>2039</v>
      </c>
    </row>
    <row r="350" spans="1:20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5"/>
        <v>72</v>
      </c>
      <c r="G350" t="s">
        <v>14</v>
      </c>
      <c r="H350">
        <v>3483</v>
      </c>
      <c r="I350" s="6"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5">
        <v>42782.25</v>
      </c>
      <c r="O350" s="5">
        <v>42795.25</v>
      </c>
      <c r="P350" t="b">
        <v>0</v>
      </c>
      <c r="Q350" t="b">
        <v>0</v>
      </c>
      <c r="R350" t="s">
        <v>17</v>
      </c>
      <c r="S350" t="s">
        <v>2034</v>
      </c>
      <c r="T350" t="s">
        <v>2035</v>
      </c>
    </row>
    <row r="351" spans="1:20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5"/>
        <v>53</v>
      </c>
      <c r="G351" t="s">
        <v>14</v>
      </c>
      <c r="H351">
        <v>923</v>
      </c>
      <c r="I351" s="6"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5">
        <v>42930.208333333336</v>
      </c>
      <c r="O351" s="5">
        <v>42960.208333333336</v>
      </c>
      <c r="P351" t="b">
        <v>0</v>
      </c>
      <c r="Q351" t="b">
        <v>0</v>
      </c>
      <c r="R351" t="s">
        <v>33</v>
      </c>
      <c r="S351" t="s">
        <v>2040</v>
      </c>
      <c r="T351" t="s">
        <v>2041</v>
      </c>
    </row>
    <row r="352" spans="1:20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5"/>
        <v>5</v>
      </c>
      <c r="G352" t="s">
        <v>14</v>
      </c>
      <c r="H352">
        <v>1</v>
      </c>
      <c r="I352" s="6">
        <v>5</v>
      </c>
      <c r="J352" t="s">
        <v>21</v>
      </c>
      <c r="K352" t="s">
        <v>22</v>
      </c>
      <c r="L352">
        <v>1432098000</v>
      </c>
      <c r="M352">
        <v>1433653200</v>
      </c>
      <c r="N352" s="5">
        <v>42144.208333333336</v>
      </c>
      <c r="O352" s="5">
        <v>42162.208333333336</v>
      </c>
      <c r="P352" t="b">
        <v>0</v>
      </c>
      <c r="Q352" t="b">
        <v>1</v>
      </c>
      <c r="R352" t="s">
        <v>159</v>
      </c>
      <c r="S352" t="s">
        <v>2036</v>
      </c>
      <c r="T352" t="s">
        <v>2059</v>
      </c>
    </row>
    <row r="353" spans="1:20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5"/>
        <v>128</v>
      </c>
      <c r="G353" t="s">
        <v>20</v>
      </c>
      <c r="H353">
        <v>2013</v>
      </c>
      <c r="I353" s="6"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5">
        <v>42240.208333333336</v>
      </c>
      <c r="O353" s="5">
        <v>42254.208333333336</v>
      </c>
      <c r="P353" t="b">
        <v>0</v>
      </c>
      <c r="Q353" t="b">
        <v>0</v>
      </c>
      <c r="R353" t="s">
        <v>23</v>
      </c>
      <c r="S353" t="s">
        <v>2036</v>
      </c>
      <c r="T353" t="s">
        <v>2037</v>
      </c>
    </row>
    <row r="354" spans="1:20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5"/>
        <v>35</v>
      </c>
      <c r="G354" t="s">
        <v>14</v>
      </c>
      <c r="H354">
        <v>33</v>
      </c>
      <c r="I354" s="6"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5">
        <v>42315.25</v>
      </c>
      <c r="O354" s="5">
        <v>42323.25</v>
      </c>
      <c r="P354" t="b">
        <v>0</v>
      </c>
      <c r="Q354" t="b">
        <v>0</v>
      </c>
      <c r="R354" t="s">
        <v>33</v>
      </c>
      <c r="S354" t="s">
        <v>2040</v>
      </c>
      <c r="T354" t="s">
        <v>2041</v>
      </c>
    </row>
    <row r="355" spans="1:20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5"/>
        <v>411</v>
      </c>
      <c r="G355" t="s">
        <v>20</v>
      </c>
      <c r="H355">
        <v>1703</v>
      </c>
      <c r="I355" s="6"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5">
        <v>43651.208333333336</v>
      </c>
      <c r="O355" s="5">
        <v>43652.208333333336</v>
      </c>
      <c r="P355" t="b">
        <v>0</v>
      </c>
      <c r="Q355" t="b">
        <v>0</v>
      </c>
      <c r="R355" t="s">
        <v>33</v>
      </c>
      <c r="S355" t="s">
        <v>2040</v>
      </c>
      <c r="T355" t="s">
        <v>2041</v>
      </c>
    </row>
    <row r="356" spans="1:20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5"/>
        <v>124</v>
      </c>
      <c r="G356" t="s">
        <v>20</v>
      </c>
      <c r="H356">
        <v>80</v>
      </c>
      <c r="I356" s="6">
        <v>94.35</v>
      </c>
      <c r="J356" t="s">
        <v>36</v>
      </c>
      <c r="K356" t="s">
        <v>37</v>
      </c>
      <c r="L356">
        <v>1378184400</v>
      </c>
      <c r="M356">
        <v>1378789200</v>
      </c>
      <c r="N356" s="5">
        <v>41520.208333333336</v>
      </c>
      <c r="O356" s="5">
        <v>41527.208333333336</v>
      </c>
      <c r="P356" t="b">
        <v>0</v>
      </c>
      <c r="Q356" t="b">
        <v>0</v>
      </c>
      <c r="R356" t="s">
        <v>42</v>
      </c>
      <c r="S356" t="s">
        <v>2042</v>
      </c>
      <c r="T356" t="s">
        <v>2043</v>
      </c>
    </row>
    <row r="357" spans="1:20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5"/>
        <v>59</v>
      </c>
      <c r="G357" t="s">
        <v>47</v>
      </c>
      <c r="H357">
        <v>86</v>
      </c>
      <c r="I357" s="6"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5">
        <v>42757.25</v>
      </c>
      <c r="O357" s="5">
        <v>42797.25</v>
      </c>
      <c r="P357" t="b">
        <v>0</v>
      </c>
      <c r="Q357" t="b">
        <v>0</v>
      </c>
      <c r="R357" t="s">
        <v>65</v>
      </c>
      <c r="S357" t="s">
        <v>2038</v>
      </c>
      <c r="T357" t="s">
        <v>2047</v>
      </c>
    </row>
    <row r="358" spans="1:20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5"/>
        <v>37</v>
      </c>
      <c r="G358" t="s">
        <v>14</v>
      </c>
      <c r="H358">
        <v>40</v>
      </c>
      <c r="I358" s="6"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5">
        <v>40922.25</v>
      </c>
      <c r="O358" s="5">
        <v>40931.25</v>
      </c>
      <c r="P358" t="b">
        <v>0</v>
      </c>
      <c r="Q358" t="b">
        <v>0</v>
      </c>
      <c r="R358" t="s">
        <v>33</v>
      </c>
      <c r="S358" t="s">
        <v>2040</v>
      </c>
      <c r="T358" t="s">
        <v>2041</v>
      </c>
    </row>
    <row r="359" spans="1:20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5"/>
        <v>185</v>
      </c>
      <c r="G359" t="s">
        <v>20</v>
      </c>
      <c r="H359">
        <v>41</v>
      </c>
      <c r="I359" s="6"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5">
        <v>42250.208333333336</v>
      </c>
      <c r="O359" s="5">
        <v>42275.208333333336</v>
      </c>
      <c r="P359" t="b">
        <v>0</v>
      </c>
      <c r="Q359" t="b">
        <v>0</v>
      </c>
      <c r="R359" t="s">
        <v>89</v>
      </c>
      <c r="S359" t="s">
        <v>2051</v>
      </c>
      <c r="T359" t="s">
        <v>2052</v>
      </c>
    </row>
    <row r="360" spans="1:20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5"/>
        <v>12</v>
      </c>
      <c r="G360" t="s">
        <v>14</v>
      </c>
      <c r="H360">
        <v>23</v>
      </c>
      <c r="I360" s="6"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5">
        <v>43322.208333333336</v>
      </c>
      <c r="O360" s="5">
        <v>43325.208333333336</v>
      </c>
      <c r="P360" t="b">
        <v>1</v>
      </c>
      <c r="Q360" t="b">
        <v>0</v>
      </c>
      <c r="R360" t="s">
        <v>122</v>
      </c>
      <c r="S360" t="s">
        <v>2055</v>
      </c>
      <c r="T360" t="s">
        <v>2056</v>
      </c>
    </row>
    <row r="361" spans="1:20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5"/>
        <v>299</v>
      </c>
      <c r="G361" t="s">
        <v>20</v>
      </c>
      <c r="H361">
        <v>187</v>
      </c>
      <c r="I361" s="6"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5">
        <v>40782.208333333336</v>
      </c>
      <c r="O361" s="5">
        <v>40789.208333333336</v>
      </c>
      <c r="P361" t="b">
        <v>0</v>
      </c>
      <c r="Q361" t="b">
        <v>0</v>
      </c>
      <c r="R361" t="s">
        <v>71</v>
      </c>
      <c r="S361" t="s">
        <v>2042</v>
      </c>
      <c r="T361" t="s">
        <v>2050</v>
      </c>
    </row>
    <row r="362" spans="1:20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5"/>
        <v>226</v>
      </c>
      <c r="G362" t="s">
        <v>20</v>
      </c>
      <c r="H362">
        <v>2875</v>
      </c>
      <c r="I362" s="6"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5">
        <v>40544.25</v>
      </c>
      <c r="O362" s="5">
        <v>40558.25</v>
      </c>
      <c r="P362" t="b">
        <v>0</v>
      </c>
      <c r="Q362" t="b">
        <v>1</v>
      </c>
      <c r="R362" t="s">
        <v>33</v>
      </c>
      <c r="S362" t="s">
        <v>2040</v>
      </c>
      <c r="T362" t="s">
        <v>2041</v>
      </c>
    </row>
    <row r="363" spans="1:20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5"/>
        <v>174</v>
      </c>
      <c r="G363" t="s">
        <v>20</v>
      </c>
      <c r="H363">
        <v>88</v>
      </c>
      <c r="I363" s="6"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5">
        <v>43015.208333333336</v>
      </c>
      <c r="O363" s="5">
        <v>43039.208333333336</v>
      </c>
      <c r="P363" t="b">
        <v>0</v>
      </c>
      <c r="Q363" t="b">
        <v>0</v>
      </c>
      <c r="R363" t="s">
        <v>33</v>
      </c>
      <c r="S363" t="s">
        <v>2040</v>
      </c>
      <c r="T363" t="s">
        <v>2041</v>
      </c>
    </row>
    <row r="364" spans="1:20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5"/>
        <v>372</v>
      </c>
      <c r="G364" t="s">
        <v>20</v>
      </c>
      <c r="H364">
        <v>191</v>
      </c>
      <c r="I364" s="6"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5">
        <v>40570.25</v>
      </c>
      <c r="O364" s="5">
        <v>40608.25</v>
      </c>
      <c r="P364" t="b">
        <v>0</v>
      </c>
      <c r="Q364" t="b">
        <v>0</v>
      </c>
      <c r="R364" t="s">
        <v>23</v>
      </c>
      <c r="S364" t="s">
        <v>2036</v>
      </c>
      <c r="T364" t="s">
        <v>2037</v>
      </c>
    </row>
    <row r="365" spans="1:20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5"/>
        <v>160</v>
      </c>
      <c r="G365" t="s">
        <v>20</v>
      </c>
      <c r="H365">
        <v>139</v>
      </c>
      <c r="I365" s="6"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5">
        <v>40904.25</v>
      </c>
      <c r="O365" s="5">
        <v>40905.25</v>
      </c>
      <c r="P365" t="b">
        <v>0</v>
      </c>
      <c r="Q365" t="b">
        <v>0</v>
      </c>
      <c r="R365" t="s">
        <v>23</v>
      </c>
      <c r="S365" t="s">
        <v>2036</v>
      </c>
      <c r="T365" t="s">
        <v>2037</v>
      </c>
    </row>
    <row r="366" spans="1:20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5"/>
        <v>1616</v>
      </c>
      <c r="G366" t="s">
        <v>20</v>
      </c>
      <c r="H366">
        <v>186</v>
      </c>
      <c r="I366" s="6"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5">
        <v>43164.25</v>
      </c>
      <c r="O366" s="5">
        <v>43194.208333333336</v>
      </c>
      <c r="P366" t="b">
        <v>0</v>
      </c>
      <c r="Q366" t="b">
        <v>0</v>
      </c>
      <c r="R366" t="s">
        <v>60</v>
      </c>
      <c r="S366" t="s">
        <v>2036</v>
      </c>
      <c r="T366" t="s">
        <v>2046</v>
      </c>
    </row>
    <row r="367" spans="1:20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5"/>
        <v>733</v>
      </c>
      <c r="G367" t="s">
        <v>20</v>
      </c>
      <c r="H367">
        <v>112</v>
      </c>
      <c r="I367" s="6"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5">
        <v>42733.25</v>
      </c>
      <c r="O367" s="5">
        <v>42760.25</v>
      </c>
      <c r="P367" t="b">
        <v>0</v>
      </c>
      <c r="Q367" t="b">
        <v>0</v>
      </c>
      <c r="R367" t="s">
        <v>33</v>
      </c>
      <c r="S367" t="s">
        <v>2040</v>
      </c>
      <c r="T367" t="s">
        <v>2041</v>
      </c>
    </row>
    <row r="368" spans="1:20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5"/>
        <v>592</v>
      </c>
      <c r="G368" t="s">
        <v>20</v>
      </c>
      <c r="H368">
        <v>101</v>
      </c>
      <c r="I368" s="6"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5">
        <v>40546.25</v>
      </c>
      <c r="O368" s="5">
        <v>40547.25</v>
      </c>
      <c r="P368" t="b">
        <v>0</v>
      </c>
      <c r="Q368" t="b">
        <v>1</v>
      </c>
      <c r="R368" t="s">
        <v>33</v>
      </c>
      <c r="S368" t="s">
        <v>2040</v>
      </c>
      <c r="T368" t="s">
        <v>2041</v>
      </c>
    </row>
    <row r="369" spans="1:20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5"/>
        <v>19</v>
      </c>
      <c r="G369" t="s">
        <v>14</v>
      </c>
      <c r="H369">
        <v>75</v>
      </c>
      <c r="I369" s="6"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5">
        <v>41930.208333333336</v>
      </c>
      <c r="O369" s="5">
        <v>41954.25</v>
      </c>
      <c r="P369" t="b">
        <v>0</v>
      </c>
      <c r="Q369" t="b">
        <v>1</v>
      </c>
      <c r="R369" t="s">
        <v>33</v>
      </c>
      <c r="S369" t="s">
        <v>2040</v>
      </c>
      <c r="T369" t="s">
        <v>2041</v>
      </c>
    </row>
    <row r="370" spans="1:20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5"/>
        <v>277</v>
      </c>
      <c r="G370" t="s">
        <v>20</v>
      </c>
      <c r="H370">
        <v>206</v>
      </c>
      <c r="I370" s="6"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5">
        <v>40464.208333333336</v>
      </c>
      <c r="O370" s="5">
        <v>40487.208333333336</v>
      </c>
      <c r="P370" t="b">
        <v>0</v>
      </c>
      <c r="Q370" t="b">
        <v>1</v>
      </c>
      <c r="R370" t="s">
        <v>42</v>
      </c>
      <c r="S370" t="s">
        <v>2042</v>
      </c>
      <c r="T370" t="s">
        <v>2043</v>
      </c>
    </row>
    <row r="371" spans="1:20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5"/>
        <v>273</v>
      </c>
      <c r="G371" t="s">
        <v>20</v>
      </c>
      <c r="H371">
        <v>154</v>
      </c>
      <c r="I371" s="6"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5">
        <v>41308.25</v>
      </c>
      <c r="O371" s="5">
        <v>41347.208333333336</v>
      </c>
      <c r="P371" t="b">
        <v>0</v>
      </c>
      <c r="Q371" t="b">
        <v>1</v>
      </c>
      <c r="R371" t="s">
        <v>269</v>
      </c>
      <c r="S371" t="s">
        <v>2042</v>
      </c>
      <c r="T371" t="s">
        <v>2061</v>
      </c>
    </row>
    <row r="372" spans="1:20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5"/>
        <v>159</v>
      </c>
      <c r="G372" t="s">
        <v>20</v>
      </c>
      <c r="H372">
        <v>5966</v>
      </c>
      <c r="I372" s="6"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5">
        <v>43570.208333333336</v>
      </c>
      <c r="O372" s="5">
        <v>43576.208333333336</v>
      </c>
      <c r="P372" t="b">
        <v>0</v>
      </c>
      <c r="Q372" t="b">
        <v>0</v>
      </c>
      <c r="R372" t="s">
        <v>33</v>
      </c>
      <c r="S372" t="s">
        <v>2040</v>
      </c>
      <c r="T372" t="s">
        <v>2041</v>
      </c>
    </row>
    <row r="373" spans="1:20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5"/>
        <v>68</v>
      </c>
      <c r="G373" t="s">
        <v>14</v>
      </c>
      <c r="H373">
        <v>2176</v>
      </c>
      <c r="I373" s="6"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5">
        <v>42043.25</v>
      </c>
      <c r="O373" s="5">
        <v>42094.208333333336</v>
      </c>
      <c r="P373" t="b">
        <v>0</v>
      </c>
      <c r="Q373" t="b">
        <v>0</v>
      </c>
      <c r="R373" t="s">
        <v>33</v>
      </c>
      <c r="S373" t="s">
        <v>2040</v>
      </c>
      <c r="T373" t="s">
        <v>2041</v>
      </c>
    </row>
    <row r="374" spans="1:20" ht="31.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5"/>
        <v>1592</v>
      </c>
      <c r="G374" t="s">
        <v>20</v>
      </c>
      <c r="H374">
        <v>169</v>
      </c>
      <c r="I374" s="6"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5">
        <v>42012.25</v>
      </c>
      <c r="O374" s="5">
        <v>42032.25</v>
      </c>
      <c r="P374" t="b">
        <v>0</v>
      </c>
      <c r="Q374" t="b">
        <v>1</v>
      </c>
      <c r="R374" t="s">
        <v>42</v>
      </c>
      <c r="S374" t="s">
        <v>2042</v>
      </c>
      <c r="T374" t="s">
        <v>2043</v>
      </c>
    </row>
    <row r="375" spans="1:20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5"/>
        <v>730</v>
      </c>
      <c r="G375" t="s">
        <v>20</v>
      </c>
      <c r="H375">
        <v>2106</v>
      </c>
      <c r="I375" s="6"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5">
        <v>42964.208333333336</v>
      </c>
      <c r="O375" s="5">
        <v>42972.208333333336</v>
      </c>
      <c r="P375" t="b">
        <v>0</v>
      </c>
      <c r="Q375" t="b">
        <v>0</v>
      </c>
      <c r="R375" t="s">
        <v>33</v>
      </c>
      <c r="S375" t="s">
        <v>2040</v>
      </c>
      <c r="T375" t="s">
        <v>2041</v>
      </c>
    </row>
    <row r="376" spans="1:20" ht="31.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5"/>
        <v>13</v>
      </c>
      <c r="G376" t="s">
        <v>14</v>
      </c>
      <c r="H376">
        <v>441</v>
      </c>
      <c r="I376" s="6"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5">
        <v>43476.25</v>
      </c>
      <c r="O376" s="5">
        <v>43481.25</v>
      </c>
      <c r="P376" t="b">
        <v>0</v>
      </c>
      <c r="Q376" t="b">
        <v>1</v>
      </c>
      <c r="R376" t="s">
        <v>42</v>
      </c>
      <c r="S376" t="s">
        <v>2042</v>
      </c>
      <c r="T376" t="s">
        <v>2043</v>
      </c>
    </row>
    <row r="377" spans="1:20" ht="31.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5"/>
        <v>55</v>
      </c>
      <c r="G377" t="s">
        <v>14</v>
      </c>
      <c r="H377">
        <v>25</v>
      </c>
      <c r="I377" s="6">
        <v>59.16</v>
      </c>
      <c r="J377" t="s">
        <v>21</v>
      </c>
      <c r="K377" t="s">
        <v>22</v>
      </c>
      <c r="L377">
        <v>1444971600</v>
      </c>
      <c r="M377">
        <v>1449900000</v>
      </c>
      <c r="N377" s="5">
        <v>42293.208333333336</v>
      </c>
      <c r="O377" s="5">
        <v>42350.25</v>
      </c>
      <c r="P377" t="b">
        <v>0</v>
      </c>
      <c r="Q377" t="b">
        <v>0</v>
      </c>
      <c r="R377" t="s">
        <v>60</v>
      </c>
      <c r="S377" t="s">
        <v>2036</v>
      </c>
      <c r="T377" t="s">
        <v>2046</v>
      </c>
    </row>
    <row r="378" spans="1:20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5"/>
        <v>361</v>
      </c>
      <c r="G378" t="s">
        <v>20</v>
      </c>
      <c r="H378">
        <v>131</v>
      </c>
      <c r="I378" s="6"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5">
        <v>41826.208333333336</v>
      </c>
      <c r="O378" s="5">
        <v>41832.208333333336</v>
      </c>
      <c r="P378" t="b">
        <v>0</v>
      </c>
      <c r="Q378" t="b">
        <v>0</v>
      </c>
      <c r="R378" t="s">
        <v>23</v>
      </c>
      <c r="S378" t="s">
        <v>2036</v>
      </c>
      <c r="T378" t="s">
        <v>2037</v>
      </c>
    </row>
    <row r="379" spans="1:20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5"/>
        <v>10</v>
      </c>
      <c r="G379" t="s">
        <v>14</v>
      </c>
      <c r="H379">
        <v>127</v>
      </c>
      <c r="I379" s="6"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5">
        <v>43760.208333333336</v>
      </c>
      <c r="O379" s="5">
        <v>43774.25</v>
      </c>
      <c r="P379" t="b">
        <v>0</v>
      </c>
      <c r="Q379" t="b">
        <v>0</v>
      </c>
      <c r="R379" t="s">
        <v>33</v>
      </c>
      <c r="S379" t="s">
        <v>2040</v>
      </c>
      <c r="T379" t="s">
        <v>2041</v>
      </c>
    </row>
    <row r="380" spans="1:20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5"/>
        <v>14</v>
      </c>
      <c r="G380" t="s">
        <v>14</v>
      </c>
      <c r="H380">
        <v>355</v>
      </c>
      <c r="I380" s="6"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5">
        <v>43241.208333333336</v>
      </c>
      <c r="O380" s="5">
        <v>43279.208333333336</v>
      </c>
      <c r="P380" t="b">
        <v>0</v>
      </c>
      <c r="Q380" t="b">
        <v>0</v>
      </c>
      <c r="R380" t="s">
        <v>42</v>
      </c>
      <c r="S380" t="s">
        <v>2042</v>
      </c>
      <c r="T380" t="s">
        <v>2043</v>
      </c>
    </row>
    <row r="381" spans="1:20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5"/>
        <v>40</v>
      </c>
      <c r="G381" t="s">
        <v>14</v>
      </c>
      <c r="H381">
        <v>44</v>
      </c>
      <c r="I381" s="6"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5">
        <v>40843.208333333336</v>
      </c>
      <c r="O381" s="5">
        <v>40857.25</v>
      </c>
      <c r="P381" t="b">
        <v>0</v>
      </c>
      <c r="Q381" t="b">
        <v>0</v>
      </c>
      <c r="R381" t="s">
        <v>33</v>
      </c>
      <c r="S381" t="s">
        <v>2040</v>
      </c>
      <c r="T381" t="s">
        <v>2041</v>
      </c>
    </row>
    <row r="382" spans="1:20" ht="31.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5"/>
        <v>160</v>
      </c>
      <c r="G382" t="s">
        <v>20</v>
      </c>
      <c r="H382">
        <v>84</v>
      </c>
      <c r="I382" s="6"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5">
        <v>41448.208333333336</v>
      </c>
      <c r="O382" s="5">
        <v>41453.208333333336</v>
      </c>
      <c r="P382" t="b">
        <v>0</v>
      </c>
      <c r="Q382" t="b">
        <v>0</v>
      </c>
      <c r="R382" t="s">
        <v>33</v>
      </c>
      <c r="S382" t="s">
        <v>2040</v>
      </c>
      <c r="T382" t="s">
        <v>2041</v>
      </c>
    </row>
    <row r="383" spans="1:20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5"/>
        <v>184</v>
      </c>
      <c r="G383" t="s">
        <v>20</v>
      </c>
      <c r="H383">
        <v>155</v>
      </c>
      <c r="I383" s="6"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5">
        <v>42163.208333333336</v>
      </c>
      <c r="O383" s="5">
        <v>42209.208333333336</v>
      </c>
      <c r="P383" t="b">
        <v>0</v>
      </c>
      <c r="Q383" t="b">
        <v>0</v>
      </c>
      <c r="R383" t="s">
        <v>33</v>
      </c>
      <c r="S383" t="s">
        <v>2040</v>
      </c>
      <c r="T383" t="s">
        <v>2041</v>
      </c>
    </row>
    <row r="384" spans="1:20" ht="31.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5"/>
        <v>64</v>
      </c>
      <c r="G384" t="s">
        <v>14</v>
      </c>
      <c r="H384">
        <v>67</v>
      </c>
      <c r="I384" s="6"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5">
        <v>43024.208333333336</v>
      </c>
      <c r="O384" s="5">
        <v>43043.208333333336</v>
      </c>
      <c r="P384" t="b">
        <v>0</v>
      </c>
      <c r="Q384" t="b">
        <v>0</v>
      </c>
      <c r="R384" t="s">
        <v>122</v>
      </c>
      <c r="S384" t="s">
        <v>2055</v>
      </c>
      <c r="T384" t="s">
        <v>2056</v>
      </c>
    </row>
    <row r="385" spans="1:20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5"/>
        <v>225</v>
      </c>
      <c r="G385" t="s">
        <v>20</v>
      </c>
      <c r="H385">
        <v>189</v>
      </c>
      <c r="I385" s="6"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5">
        <v>43509.25</v>
      </c>
      <c r="O385" s="5">
        <v>43515.25</v>
      </c>
      <c r="P385" t="b">
        <v>0</v>
      </c>
      <c r="Q385" t="b">
        <v>1</v>
      </c>
      <c r="R385" t="s">
        <v>17</v>
      </c>
      <c r="S385" t="s">
        <v>2034</v>
      </c>
      <c r="T385" t="s">
        <v>2035</v>
      </c>
    </row>
    <row r="386" spans="1:20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5"/>
        <v>172</v>
      </c>
      <c r="G386" t="s">
        <v>20</v>
      </c>
      <c r="H386">
        <v>4799</v>
      </c>
      <c r="I386" s="6"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5">
        <v>42776.25</v>
      </c>
      <c r="O386" s="5">
        <v>42803.25</v>
      </c>
      <c r="P386" t="b">
        <v>1</v>
      </c>
      <c r="Q386" t="b">
        <v>1</v>
      </c>
      <c r="R386" t="s">
        <v>42</v>
      </c>
      <c r="S386" t="s">
        <v>2042</v>
      </c>
      <c r="T386" t="s">
        <v>2043</v>
      </c>
    </row>
    <row r="387" spans="1:20" ht="31.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si="5"/>
        <v>146</v>
      </c>
      <c r="G387" t="s">
        <v>20</v>
      </c>
      <c r="H387">
        <v>1137</v>
      </c>
      <c r="I387" s="6"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5">
        <v>43553.208333333336</v>
      </c>
      <c r="O387" s="5">
        <v>43585.208333333336</v>
      </c>
      <c r="P387" t="b">
        <v>0</v>
      </c>
      <c r="Q387" t="b">
        <v>0</v>
      </c>
      <c r="R387" t="s">
        <v>68</v>
      </c>
      <c r="S387" t="s">
        <v>2048</v>
      </c>
      <c r="T387" t="s">
        <v>2049</v>
      </c>
    </row>
    <row r="388" spans="1:20" ht="31.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ref="F388:F451" si="6">ROUND(E388/D388*100,0)</f>
        <v>76</v>
      </c>
      <c r="G388" t="s">
        <v>14</v>
      </c>
      <c r="H388">
        <v>1068</v>
      </c>
      <c r="I388" s="6"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5">
        <v>40355.208333333336</v>
      </c>
      <c r="O388" s="5">
        <v>40367.208333333336</v>
      </c>
      <c r="P388" t="b">
        <v>0</v>
      </c>
      <c r="Q388" t="b">
        <v>0</v>
      </c>
      <c r="R388" t="s">
        <v>33</v>
      </c>
      <c r="S388" t="s">
        <v>2040</v>
      </c>
      <c r="T388" t="s">
        <v>2041</v>
      </c>
    </row>
    <row r="389" spans="1:20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6"/>
        <v>39</v>
      </c>
      <c r="G389" t="s">
        <v>14</v>
      </c>
      <c r="H389">
        <v>424</v>
      </c>
      <c r="I389" s="6"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5">
        <v>41072.208333333336</v>
      </c>
      <c r="O389" s="5">
        <v>41077.208333333336</v>
      </c>
      <c r="P389" t="b">
        <v>0</v>
      </c>
      <c r="Q389" t="b">
        <v>0</v>
      </c>
      <c r="R389" t="s">
        <v>65</v>
      </c>
      <c r="S389" t="s">
        <v>2038</v>
      </c>
      <c r="T389" t="s">
        <v>2047</v>
      </c>
    </row>
    <row r="390" spans="1:20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6"/>
        <v>11</v>
      </c>
      <c r="G390" t="s">
        <v>74</v>
      </c>
      <c r="H390">
        <v>145</v>
      </c>
      <c r="I390" s="6"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5">
        <v>40912.25</v>
      </c>
      <c r="O390" s="5">
        <v>40914.25</v>
      </c>
      <c r="P390" t="b">
        <v>0</v>
      </c>
      <c r="Q390" t="b">
        <v>0</v>
      </c>
      <c r="R390" t="s">
        <v>60</v>
      </c>
      <c r="S390" t="s">
        <v>2036</v>
      </c>
      <c r="T390" t="s">
        <v>2046</v>
      </c>
    </row>
    <row r="391" spans="1:20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6"/>
        <v>122</v>
      </c>
      <c r="G391" t="s">
        <v>20</v>
      </c>
      <c r="H391">
        <v>1152</v>
      </c>
      <c r="I391" s="6"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5">
        <v>40479.208333333336</v>
      </c>
      <c r="O391" s="5">
        <v>40506.25</v>
      </c>
      <c r="P391" t="b">
        <v>0</v>
      </c>
      <c r="Q391" t="b">
        <v>0</v>
      </c>
      <c r="R391" t="s">
        <v>33</v>
      </c>
      <c r="S391" t="s">
        <v>2040</v>
      </c>
      <c r="T391" t="s">
        <v>2041</v>
      </c>
    </row>
    <row r="392" spans="1:20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6"/>
        <v>187</v>
      </c>
      <c r="G392" t="s">
        <v>20</v>
      </c>
      <c r="H392">
        <v>50</v>
      </c>
      <c r="I392" s="6">
        <v>89.54</v>
      </c>
      <c r="J392" t="s">
        <v>21</v>
      </c>
      <c r="K392" t="s">
        <v>22</v>
      </c>
      <c r="L392">
        <v>1379048400</v>
      </c>
      <c r="M392">
        <v>1380344400</v>
      </c>
      <c r="N392" s="5">
        <v>41530.208333333336</v>
      </c>
      <c r="O392" s="5">
        <v>41545.208333333336</v>
      </c>
      <c r="P392" t="b">
        <v>0</v>
      </c>
      <c r="Q392" t="b">
        <v>0</v>
      </c>
      <c r="R392" t="s">
        <v>122</v>
      </c>
      <c r="S392" t="s">
        <v>2055</v>
      </c>
      <c r="T392" t="s">
        <v>2056</v>
      </c>
    </row>
    <row r="393" spans="1:20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6"/>
        <v>7</v>
      </c>
      <c r="G393" t="s">
        <v>14</v>
      </c>
      <c r="H393">
        <v>151</v>
      </c>
      <c r="I393" s="6"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5">
        <v>41653.25</v>
      </c>
      <c r="O393" s="5">
        <v>41655.25</v>
      </c>
      <c r="P393" t="b">
        <v>0</v>
      </c>
      <c r="Q393" t="b">
        <v>0</v>
      </c>
      <c r="R393" t="s">
        <v>68</v>
      </c>
      <c r="S393" t="s">
        <v>2048</v>
      </c>
      <c r="T393" t="s">
        <v>2049</v>
      </c>
    </row>
    <row r="394" spans="1:20" ht="31.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6"/>
        <v>66</v>
      </c>
      <c r="G394" t="s">
        <v>14</v>
      </c>
      <c r="H394">
        <v>1608</v>
      </c>
      <c r="I394" s="6"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5">
        <v>40549.25</v>
      </c>
      <c r="O394" s="5">
        <v>40551.25</v>
      </c>
      <c r="P394" t="b">
        <v>0</v>
      </c>
      <c r="Q394" t="b">
        <v>0</v>
      </c>
      <c r="R394" t="s">
        <v>65</v>
      </c>
      <c r="S394" t="s">
        <v>2038</v>
      </c>
      <c r="T394" t="s">
        <v>2047</v>
      </c>
    </row>
    <row r="395" spans="1:20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6"/>
        <v>229</v>
      </c>
      <c r="G395" t="s">
        <v>20</v>
      </c>
      <c r="H395">
        <v>3059</v>
      </c>
      <c r="I395" s="6"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5">
        <v>42933.208333333336</v>
      </c>
      <c r="O395" s="5">
        <v>42934.208333333336</v>
      </c>
      <c r="P395" t="b">
        <v>0</v>
      </c>
      <c r="Q395" t="b">
        <v>0</v>
      </c>
      <c r="R395" t="s">
        <v>159</v>
      </c>
      <c r="S395" t="s">
        <v>2036</v>
      </c>
      <c r="T395" t="s">
        <v>2059</v>
      </c>
    </row>
    <row r="396" spans="1:20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6"/>
        <v>469</v>
      </c>
      <c r="G396" t="s">
        <v>20</v>
      </c>
      <c r="H396">
        <v>34</v>
      </c>
      <c r="I396" s="6"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5">
        <v>41484.208333333336</v>
      </c>
      <c r="O396" s="5">
        <v>41494.208333333336</v>
      </c>
      <c r="P396" t="b">
        <v>0</v>
      </c>
      <c r="Q396" t="b">
        <v>1</v>
      </c>
      <c r="R396" t="s">
        <v>42</v>
      </c>
      <c r="S396" t="s">
        <v>2042</v>
      </c>
      <c r="T396" t="s">
        <v>2043</v>
      </c>
    </row>
    <row r="397" spans="1:20" ht="31.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6"/>
        <v>130</v>
      </c>
      <c r="G397" t="s">
        <v>20</v>
      </c>
      <c r="H397">
        <v>220</v>
      </c>
      <c r="I397" s="6"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5">
        <v>40885.25</v>
      </c>
      <c r="O397" s="5">
        <v>40886.25</v>
      </c>
      <c r="P397" t="b">
        <v>1</v>
      </c>
      <c r="Q397" t="b">
        <v>0</v>
      </c>
      <c r="R397" t="s">
        <v>33</v>
      </c>
      <c r="S397" t="s">
        <v>2040</v>
      </c>
      <c r="T397" t="s">
        <v>2041</v>
      </c>
    </row>
    <row r="398" spans="1:20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6"/>
        <v>167</v>
      </c>
      <c r="G398" t="s">
        <v>20</v>
      </c>
      <c r="H398">
        <v>1604</v>
      </c>
      <c r="I398" s="6"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5">
        <v>43378.208333333336</v>
      </c>
      <c r="O398" s="5">
        <v>43386.208333333336</v>
      </c>
      <c r="P398" t="b">
        <v>0</v>
      </c>
      <c r="Q398" t="b">
        <v>0</v>
      </c>
      <c r="R398" t="s">
        <v>53</v>
      </c>
      <c r="S398" t="s">
        <v>2042</v>
      </c>
      <c r="T398" t="s">
        <v>2045</v>
      </c>
    </row>
    <row r="399" spans="1:20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6"/>
        <v>174</v>
      </c>
      <c r="G399" t="s">
        <v>20</v>
      </c>
      <c r="H399">
        <v>454</v>
      </c>
      <c r="I399" s="6"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5">
        <v>41417.208333333336</v>
      </c>
      <c r="O399" s="5">
        <v>41423.208333333336</v>
      </c>
      <c r="P399" t="b">
        <v>0</v>
      </c>
      <c r="Q399" t="b">
        <v>0</v>
      </c>
      <c r="R399" t="s">
        <v>23</v>
      </c>
      <c r="S399" t="s">
        <v>2036</v>
      </c>
      <c r="T399" t="s">
        <v>2037</v>
      </c>
    </row>
    <row r="400" spans="1:20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6"/>
        <v>718</v>
      </c>
      <c r="G400" t="s">
        <v>20</v>
      </c>
      <c r="H400">
        <v>123</v>
      </c>
      <c r="I400" s="6"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5">
        <v>43228.208333333336</v>
      </c>
      <c r="O400" s="5">
        <v>43230.208333333336</v>
      </c>
      <c r="P400" t="b">
        <v>0</v>
      </c>
      <c r="Q400" t="b">
        <v>1</v>
      </c>
      <c r="R400" t="s">
        <v>71</v>
      </c>
      <c r="S400" t="s">
        <v>2042</v>
      </c>
      <c r="T400" t="s">
        <v>2050</v>
      </c>
    </row>
    <row r="401" spans="1:20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6"/>
        <v>64</v>
      </c>
      <c r="G401" t="s">
        <v>14</v>
      </c>
      <c r="H401">
        <v>941</v>
      </c>
      <c r="I401" s="6"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5">
        <v>40576.25</v>
      </c>
      <c r="O401" s="5">
        <v>40583.25</v>
      </c>
      <c r="P401" t="b">
        <v>0</v>
      </c>
      <c r="Q401" t="b">
        <v>0</v>
      </c>
      <c r="R401" t="s">
        <v>60</v>
      </c>
      <c r="S401" t="s">
        <v>2036</v>
      </c>
      <c r="T401" t="s">
        <v>2046</v>
      </c>
    </row>
    <row r="402" spans="1:20" ht="31.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6"/>
        <v>2</v>
      </c>
      <c r="G402" t="s">
        <v>14</v>
      </c>
      <c r="H402">
        <v>1</v>
      </c>
      <c r="I402" s="6">
        <v>2</v>
      </c>
      <c r="J402" t="s">
        <v>21</v>
      </c>
      <c r="K402" t="s">
        <v>22</v>
      </c>
      <c r="L402">
        <v>1376629200</v>
      </c>
      <c r="M402">
        <v>1378530000</v>
      </c>
      <c r="N402" s="5">
        <v>41502.208333333336</v>
      </c>
      <c r="O402" s="5">
        <v>41524.208333333336</v>
      </c>
      <c r="P402" t="b">
        <v>0</v>
      </c>
      <c r="Q402" t="b">
        <v>1</v>
      </c>
      <c r="R402" t="s">
        <v>122</v>
      </c>
      <c r="S402" t="s">
        <v>2055</v>
      </c>
      <c r="T402" t="s">
        <v>2056</v>
      </c>
    </row>
    <row r="403" spans="1:20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6"/>
        <v>1530</v>
      </c>
      <c r="G403" t="s">
        <v>20</v>
      </c>
      <c r="H403">
        <v>299</v>
      </c>
      <c r="I403" s="6"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5">
        <v>43765.208333333336</v>
      </c>
      <c r="O403" s="5">
        <v>43765.208333333336</v>
      </c>
      <c r="P403" t="b">
        <v>0</v>
      </c>
      <c r="Q403" t="b">
        <v>0</v>
      </c>
      <c r="R403" t="s">
        <v>33</v>
      </c>
      <c r="S403" t="s">
        <v>2040</v>
      </c>
      <c r="T403" t="s">
        <v>2041</v>
      </c>
    </row>
    <row r="404" spans="1:20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6"/>
        <v>40</v>
      </c>
      <c r="G404" t="s">
        <v>14</v>
      </c>
      <c r="H404">
        <v>40</v>
      </c>
      <c r="I404" s="6"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5">
        <v>40914.25</v>
      </c>
      <c r="O404" s="5">
        <v>40961.25</v>
      </c>
      <c r="P404" t="b">
        <v>0</v>
      </c>
      <c r="Q404" t="b">
        <v>1</v>
      </c>
      <c r="R404" t="s">
        <v>100</v>
      </c>
      <c r="S404" t="s">
        <v>2042</v>
      </c>
      <c r="T404" t="s">
        <v>2053</v>
      </c>
    </row>
    <row r="405" spans="1:20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6"/>
        <v>86</v>
      </c>
      <c r="G405" t="s">
        <v>14</v>
      </c>
      <c r="H405">
        <v>3015</v>
      </c>
      <c r="I405" s="6"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5">
        <v>40310.208333333336</v>
      </c>
      <c r="O405" s="5">
        <v>40346.208333333336</v>
      </c>
      <c r="P405" t="b">
        <v>0</v>
      </c>
      <c r="Q405" t="b">
        <v>1</v>
      </c>
      <c r="R405" t="s">
        <v>33</v>
      </c>
      <c r="S405" t="s">
        <v>2040</v>
      </c>
      <c r="T405" t="s">
        <v>2041</v>
      </c>
    </row>
    <row r="406" spans="1:20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6"/>
        <v>316</v>
      </c>
      <c r="G406" t="s">
        <v>20</v>
      </c>
      <c r="H406">
        <v>2237</v>
      </c>
      <c r="I406" s="6"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5">
        <v>43053.25</v>
      </c>
      <c r="O406" s="5">
        <v>43056.25</v>
      </c>
      <c r="P406" t="b">
        <v>0</v>
      </c>
      <c r="Q406" t="b">
        <v>0</v>
      </c>
      <c r="R406" t="s">
        <v>33</v>
      </c>
      <c r="S406" t="s">
        <v>2040</v>
      </c>
      <c r="T406" t="s">
        <v>2041</v>
      </c>
    </row>
    <row r="407" spans="1:20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6"/>
        <v>90</v>
      </c>
      <c r="G407" t="s">
        <v>14</v>
      </c>
      <c r="H407">
        <v>435</v>
      </c>
      <c r="I407" s="6"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5">
        <v>43255.208333333336</v>
      </c>
      <c r="O407" s="5">
        <v>43305.208333333336</v>
      </c>
      <c r="P407" t="b">
        <v>0</v>
      </c>
      <c r="Q407" t="b">
        <v>0</v>
      </c>
      <c r="R407" t="s">
        <v>33</v>
      </c>
      <c r="S407" t="s">
        <v>2040</v>
      </c>
      <c r="T407" t="s">
        <v>2041</v>
      </c>
    </row>
    <row r="408" spans="1:20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6"/>
        <v>182</v>
      </c>
      <c r="G408" t="s">
        <v>20</v>
      </c>
      <c r="H408">
        <v>645</v>
      </c>
      <c r="I408" s="6"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5">
        <v>41304.25</v>
      </c>
      <c r="O408" s="5">
        <v>41316.25</v>
      </c>
      <c r="P408" t="b">
        <v>1</v>
      </c>
      <c r="Q408" t="b">
        <v>0</v>
      </c>
      <c r="R408" t="s">
        <v>42</v>
      </c>
      <c r="S408" t="s">
        <v>2042</v>
      </c>
      <c r="T408" t="s">
        <v>2043</v>
      </c>
    </row>
    <row r="409" spans="1:20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6"/>
        <v>356</v>
      </c>
      <c r="G409" t="s">
        <v>20</v>
      </c>
      <c r="H409">
        <v>484</v>
      </c>
      <c r="I409" s="6">
        <v>25</v>
      </c>
      <c r="J409" t="s">
        <v>36</v>
      </c>
      <c r="K409" t="s">
        <v>37</v>
      </c>
      <c r="L409">
        <v>1570942800</v>
      </c>
      <c r="M409">
        <v>1571547600</v>
      </c>
      <c r="N409" s="5">
        <v>43751.208333333336</v>
      </c>
      <c r="O409" s="5">
        <v>43758.208333333336</v>
      </c>
      <c r="P409" t="b">
        <v>0</v>
      </c>
      <c r="Q409" t="b">
        <v>0</v>
      </c>
      <c r="R409" t="s">
        <v>33</v>
      </c>
      <c r="S409" t="s">
        <v>2040</v>
      </c>
      <c r="T409" t="s">
        <v>2041</v>
      </c>
    </row>
    <row r="410" spans="1:20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6"/>
        <v>132</v>
      </c>
      <c r="G410" t="s">
        <v>20</v>
      </c>
      <c r="H410">
        <v>154</v>
      </c>
      <c r="I410" s="6"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5">
        <v>42541.208333333336</v>
      </c>
      <c r="O410" s="5">
        <v>42561.208333333336</v>
      </c>
      <c r="P410" t="b">
        <v>0</v>
      </c>
      <c r="Q410" t="b">
        <v>0</v>
      </c>
      <c r="R410" t="s">
        <v>42</v>
      </c>
      <c r="S410" t="s">
        <v>2042</v>
      </c>
      <c r="T410" t="s">
        <v>2043</v>
      </c>
    </row>
    <row r="411" spans="1:20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6"/>
        <v>46</v>
      </c>
      <c r="G411" t="s">
        <v>14</v>
      </c>
      <c r="H411">
        <v>714</v>
      </c>
      <c r="I411" s="6"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5">
        <v>42843.208333333336</v>
      </c>
      <c r="O411" s="5">
        <v>42847.208333333336</v>
      </c>
      <c r="P411" t="b">
        <v>0</v>
      </c>
      <c r="Q411" t="b">
        <v>0</v>
      </c>
      <c r="R411" t="s">
        <v>23</v>
      </c>
      <c r="S411" t="s">
        <v>2036</v>
      </c>
      <c r="T411" t="s">
        <v>2037</v>
      </c>
    </row>
    <row r="412" spans="1:20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6"/>
        <v>36</v>
      </c>
      <c r="G412" t="s">
        <v>47</v>
      </c>
      <c r="H412">
        <v>1111</v>
      </c>
      <c r="I412" s="6"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5">
        <v>42122.208333333336</v>
      </c>
      <c r="O412" s="5">
        <v>42122.208333333336</v>
      </c>
      <c r="P412" t="b">
        <v>0</v>
      </c>
      <c r="Q412" t="b">
        <v>0</v>
      </c>
      <c r="R412" t="s">
        <v>292</v>
      </c>
      <c r="S412" t="s">
        <v>2051</v>
      </c>
      <c r="T412" t="s">
        <v>2062</v>
      </c>
    </row>
    <row r="413" spans="1:20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6"/>
        <v>105</v>
      </c>
      <c r="G413" t="s">
        <v>20</v>
      </c>
      <c r="H413">
        <v>82</v>
      </c>
      <c r="I413" s="6"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5">
        <v>42884.208333333336</v>
      </c>
      <c r="O413" s="5">
        <v>42886.208333333336</v>
      </c>
      <c r="P413" t="b">
        <v>0</v>
      </c>
      <c r="Q413" t="b">
        <v>0</v>
      </c>
      <c r="R413" t="s">
        <v>33</v>
      </c>
      <c r="S413" t="s">
        <v>2040</v>
      </c>
      <c r="T413" t="s">
        <v>2041</v>
      </c>
    </row>
    <row r="414" spans="1:20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6"/>
        <v>669</v>
      </c>
      <c r="G414" t="s">
        <v>20</v>
      </c>
      <c r="H414">
        <v>134</v>
      </c>
      <c r="I414" s="6"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5">
        <v>41642.25</v>
      </c>
      <c r="O414" s="5">
        <v>41652.25</v>
      </c>
      <c r="P414" t="b">
        <v>0</v>
      </c>
      <c r="Q414" t="b">
        <v>0</v>
      </c>
      <c r="R414" t="s">
        <v>119</v>
      </c>
      <c r="S414" t="s">
        <v>2048</v>
      </c>
      <c r="T414" t="s">
        <v>2054</v>
      </c>
    </row>
    <row r="415" spans="1:20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6"/>
        <v>62</v>
      </c>
      <c r="G415" t="s">
        <v>47</v>
      </c>
      <c r="H415">
        <v>1089</v>
      </c>
      <c r="I415" s="6"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5">
        <v>43431.25</v>
      </c>
      <c r="O415" s="5">
        <v>43458.25</v>
      </c>
      <c r="P415" t="b">
        <v>0</v>
      </c>
      <c r="Q415" t="b">
        <v>0</v>
      </c>
      <c r="R415" t="s">
        <v>71</v>
      </c>
      <c r="S415" t="s">
        <v>2042</v>
      </c>
      <c r="T415" t="s">
        <v>2050</v>
      </c>
    </row>
    <row r="416" spans="1:20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6"/>
        <v>85</v>
      </c>
      <c r="G416" t="s">
        <v>14</v>
      </c>
      <c r="H416">
        <v>5497</v>
      </c>
      <c r="I416" s="6"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5">
        <v>40288.208333333336</v>
      </c>
      <c r="O416" s="5">
        <v>40296.208333333336</v>
      </c>
      <c r="P416" t="b">
        <v>0</v>
      </c>
      <c r="Q416" t="b">
        <v>1</v>
      </c>
      <c r="R416" t="s">
        <v>17</v>
      </c>
      <c r="S416" t="s">
        <v>2034</v>
      </c>
      <c r="T416" t="s">
        <v>2035</v>
      </c>
    </row>
    <row r="417" spans="1:20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6"/>
        <v>11</v>
      </c>
      <c r="G417" t="s">
        <v>14</v>
      </c>
      <c r="H417">
        <v>418</v>
      </c>
      <c r="I417" s="6"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5">
        <v>40921.25</v>
      </c>
      <c r="O417" s="5">
        <v>40938.25</v>
      </c>
      <c r="P417" t="b">
        <v>0</v>
      </c>
      <c r="Q417" t="b">
        <v>0</v>
      </c>
      <c r="R417" t="s">
        <v>33</v>
      </c>
      <c r="S417" t="s">
        <v>2040</v>
      </c>
      <c r="T417" t="s">
        <v>2041</v>
      </c>
    </row>
    <row r="418" spans="1:20" ht="31.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6"/>
        <v>44</v>
      </c>
      <c r="G418" t="s">
        <v>14</v>
      </c>
      <c r="H418">
        <v>1439</v>
      </c>
      <c r="I418" s="6"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5">
        <v>40560.25</v>
      </c>
      <c r="O418" s="5">
        <v>40569.25</v>
      </c>
      <c r="P418" t="b">
        <v>0</v>
      </c>
      <c r="Q418" t="b">
        <v>1</v>
      </c>
      <c r="R418" t="s">
        <v>42</v>
      </c>
      <c r="S418" t="s">
        <v>2042</v>
      </c>
      <c r="T418" t="s">
        <v>2043</v>
      </c>
    </row>
    <row r="419" spans="1:20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6"/>
        <v>55</v>
      </c>
      <c r="G419" t="s">
        <v>14</v>
      </c>
      <c r="H419">
        <v>15</v>
      </c>
      <c r="I419" s="6"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5">
        <v>43407.208333333336</v>
      </c>
      <c r="O419" s="5">
        <v>43431.25</v>
      </c>
      <c r="P419" t="b">
        <v>0</v>
      </c>
      <c r="Q419" t="b">
        <v>0</v>
      </c>
      <c r="R419" t="s">
        <v>33</v>
      </c>
      <c r="S419" t="s">
        <v>2040</v>
      </c>
      <c r="T419" t="s">
        <v>2041</v>
      </c>
    </row>
    <row r="420" spans="1:20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6"/>
        <v>57</v>
      </c>
      <c r="G420" t="s">
        <v>14</v>
      </c>
      <c r="H420">
        <v>1999</v>
      </c>
      <c r="I420" s="6"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5">
        <v>41035.208333333336</v>
      </c>
      <c r="O420" s="5">
        <v>41036.208333333336</v>
      </c>
      <c r="P420" t="b">
        <v>0</v>
      </c>
      <c r="Q420" t="b">
        <v>0</v>
      </c>
      <c r="R420" t="s">
        <v>42</v>
      </c>
      <c r="S420" t="s">
        <v>2042</v>
      </c>
      <c r="T420" t="s">
        <v>2043</v>
      </c>
    </row>
    <row r="421" spans="1:20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6"/>
        <v>123</v>
      </c>
      <c r="G421" t="s">
        <v>20</v>
      </c>
      <c r="H421">
        <v>5203</v>
      </c>
      <c r="I421" s="6"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5">
        <v>40899.25</v>
      </c>
      <c r="O421" s="5">
        <v>40905.25</v>
      </c>
      <c r="P421" t="b">
        <v>0</v>
      </c>
      <c r="Q421" t="b">
        <v>0</v>
      </c>
      <c r="R421" t="s">
        <v>28</v>
      </c>
      <c r="S421" t="s">
        <v>2038</v>
      </c>
      <c r="T421" t="s">
        <v>2039</v>
      </c>
    </row>
    <row r="422" spans="1:20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6"/>
        <v>128</v>
      </c>
      <c r="G422" t="s">
        <v>20</v>
      </c>
      <c r="H422">
        <v>94</v>
      </c>
      <c r="I422" s="6"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5">
        <v>42911.208333333336</v>
      </c>
      <c r="O422" s="5">
        <v>42925.208333333336</v>
      </c>
      <c r="P422" t="b">
        <v>0</v>
      </c>
      <c r="Q422" t="b">
        <v>0</v>
      </c>
      <c r="R422" t="s">
        <v>33</v>
      </c>
      <c r="S422" t="s">
        <v>2040</v>
      </c>
      <c r="T422" t="s">
        <v>2041</v>
      </c>
    </row>
    <row r="423" spans="1:20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6"/>
        <v>64</v>
      </c>
      <c r="G423" t="s">
        <v>14</v>
      </c>
      <c r="H423">
        <v>118</v>
      </c>
      <c r="I423" s="6"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5">
        <v>42915.208333333336</v>
      </c>
      <c r="O423" s="5">
        <v>42945.208333333336</v>
      </c>
      <c r="P423" t="b">
        <v>0</v>
      </c>
      <c r="Q423" t="b">
        <v>1</v>
      </c>
      <c r="R423" t="s">
        <v>65</v>
      </c>
      <c r="S423" t="s">
        <v>2038</v>
      </c>
      <c r="T423" t="s">
        <v>2047</v>
      </c>
    </row>
    <row r="424" spans="1:20" ht="31.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6"/>
        <v>127</v>
      </c>
      <c r="G424" t="s">
        <v>20</v>
      </c>
      <c r="H424">
        <v>205</v>
      </c>
      <c r="I424" s="6"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5">
        <v>40285.208333333336</v>
      </c>
      <c r="O424" s="5">
        <v>40305.208333333336</v>
      </c>
      <c r="P424" t="b">
        <v>0</v>
      </c>
      <c r="Q424" t="b">
        <v>1</v>
      </c>
      <c r="R424" t="s">
        <v>33</v>
      </c>
      <c r="S424" t="s">
        <v>2040</v>
      </c>
      <c r="T424" t="s">
        <v>2041</v>
      </c>
    </row>
    <row r="425" spans="1:20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6"/>
        <v>11</v>
      </c>
      <c r="G425" t="s">
        <v>14</v>
      </c>
      <c r="H425">
        <v>162</v>
      </c>
      <c r="I425" s="6"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5">
        <v>40808.208333333336</v>
      </c>
      <c r="O425" s="5">
        <v>40810.208333333336</v>
      </c>
      <c r="P425" t="b">
        <v>0</v>
      </c>
      <c r="Q425" t="b">
        <v>1</v>
      </c>
      <c r="R425" t="s">
        <v>17</v>
      </c>
      <c r="S425" t="s">
        <v>2034</v>
      </c>
      <c r="T425" t="s">
        <v>2035</v>
      </c>
    </row>
    <row r="426" spans="1:20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6"/>
        <v>40</v>
      </c>
      <c r="G426" t="s">
        <v>14</v>
      </c>
      <c r="H426">
        <v>83</v>
      </c>
      <c r="I426" s="6"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5">
        <v>43208.208333333336</v>
      </c>
      <c r="O426" s="5">
        <v>43214.208333333336</v>
      </c>
      <c r="P426" t="b">
        <v>0</v>
      </c>
      <c r="Q426" t="b">
        <v>0</v>
      </c>
      <c r="R426" t="s">
        <v>60</v>
      </c>
      <c r="S426" t="s">
        <v>2036</v>
      </c>
      <c r="T426" t="s">
        <v>2046</v>
      </c>
    </row>
    <row r="427" spans="1:20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6"/>
        <v>288</v>
      </c>
      <c r="G427" t="s">
        <v>20</v>
      </c>
      <c r="H427">
        <v>92</v>
      </c>
      <c r="I427" s="6"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5">
        <v>42213.208333333336</v>
      </c>
      <c r="O427" s="5">
        <v>42219.208333333336</v>
      </c>
      <c r="P427" t="b">
        <v>0</v>
      </c>
      <c r="Q427" t="b">
        <v>0</v>
      </c>
      <c r="R427" t="s">
        <v>122</v>
      </c>
      <c r="S427" t="s">
        <v>2055</v>
      </c>
      <c r="T427" t="s">
        <v>2056</v>
      </c>
    </row>
    <row r="428" spans="1:20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6"/>
        <v>573</v>
      </c>
      <c r="G428" t="s">
        <v>20</v>
      </c>
      <c r="H428">
        <v>219</v>
      </c>
      <c r="I428" s="6"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5">
        <v>41332.25</v>
      </c>
      <c r="O428" s="5">
        <v>41339.25</v>
      </c>
      <c r="P428" t="b">
        <v>0</v>
      </c>
      <c r="Q428" t="b">
        <v>0</v>
      </c>
      <c r="R428" t="s">
        <v>33</v>
      </c>
      <c r="S428" t="s">
        <v>2040</v>
      </c>
      <c r="T428" t="s">
        <v>2041</v>
      </c>
    </row>
    <row r="429" spans="1:20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6"/>
        <v>113</v>
      </c>
      <c r="G429" t="s">
        <v>20</v>
      </c>
      <c r="H429">
        <v>2526</v>
      </c>
      <c r="I429" s="6"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5">
        <v>41895.208333333336</v>
      </c>
      <c r="O429" s="5">
        <v>41927.208333333336</v>
      </c>
      <c r="P429" t="b">
        <v>0</v>
      </c>
      <c r="Q429" t="b">
        <v>1</v>
      </c>
      <c r="R429" t="s">
        <v>33</v>
      </c>
      <c r="S429" t="s">
        <v>2040</v>
      </c>
      <c r="T429" t="s">
        <v>2041</v>
      </c>
    </row>
    <row r="430" spans="1:20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6"/>
        <v>46</v>
      </c>
      <c r="G430" t="s">
        <v>14</v>
      </c>
      <c r="H430">
        <v>747</v>
      </c>
      <c r="I430" s="6"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5">
        <v>40585.25</v>
      </c>
      <c r="O430" s="5">
        <v>40592.25</v>
      </c>
      <c r="P430" t="b">
        <v>0</v>
      </c>
      <c r="Q430" t="b">
        <v>0</v>
      </c>
      <c r="R430" t="s">
        <v>71</v>
      </c>
      <c r="S430" t="s">
        <v>2042</v>
      </c>
      <c r="T430" t="s">
        <v>2050</v>
      </c>
    </row>
    <row r="431" spans="1:20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6"/>
        <v>91</v>
      </c>
      <c r="G431" t="s">
        <v>74</v>
      </c>
      <c r="H431">
        <v>2138</v>
      </c>
      <c r="I431" s="6"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5">
        <v>41680.25</v>
      </c>
      <c r="O431" s="5">
        <v>41708.208333333336</v>
      </c>
      <c r="P431" t="b">
        <v>0</v>
      </c>
      <c r="Q431" t="b">
        <v>1</v>
      </c>
      <c r="R431" t="s">
        <v>122</v>
      </c>
      <c r="S431" t="s">
        <v>2055</v>
      </c>
      <c r="T431" t="s">
        <v>2056</v>
      </c>
    </row>
    <row r="432" spans="1:20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6"/>
        <v>68</v>
      </c>
      <c r="G432" t="s">
        <v>14</v>
      </c>
      <c r="H432">
        <v>84</v>
      </c>
      <c r="I432" s="6"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5">
        <v>43737.208333333336</v>
      </c>
      <c r="O432" s="5">
        <v>43771.208333333336</v>
      </c>
      <c r="P432" t="b">
        <v>0</v>
      </c>
      <c r="Q432" t="b">
        <v>0</v>
      </c>
      <c r="R432" t="s">
        <v>33</v>
      </c>
      <c r="S432" t="s">
        <v>2040</v>
      </c>
      <c r="T432" t="s">
        <v>2041</v>
      </c>
    </row>
    <row r="433" spans="1:20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6"/>
        <v>192</v>
      </c>
      <c r="G433" t="s">
        <v>20</v>
      </c>
      <c r="H433">
        <v>94</v>
      </c>
      <c r="I433" s="6"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5">
        <v>43273.208333333336</v>
      </c>
      <c r="O433" s="5">
        <v>43290.208333333336</v>
      </c>
      <c r="P433" t="b">
        <v>1</v>
      </c>
      <c r="Q433" t="b">
        <v>0</v>
      </c>
      <c r="R433" t="s">
        <v>33</v>
      </c>
      <c r="S433" t="s">
        <v>2040</v>
      </c>
      <c r="T433" t="s">
        <v>2041</v>
      </c>
    </row>
    <row r="434" spans="1:20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6"/>
        <v>83</v>
      </c>
      <c r="G434" t="s">
        <v>14</v>
      </c>
      <c r="H434">
        <v>91</v>
      </c>
      <c r="I434" s="6"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5">
        <v>41761.208333333336</v>
      </c>
      <c r="O434" s="5">
        <v>41781.208333333336</v>
      </c>
      <c r="P434" t="b">
        <v>0</v>
      </c>
      <c r="Q434" t="b">
        <v>0</v>
      </c>
      <c r="R434" t="s">
        <v>33</v>
      </c>
      <c r="S434" t="s">
        <v>2040</v>
      </c>
      <c r="T434" t="s">
        <v>2041</v>
      </c>
    </row>
    <row r="435" spans="1:20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6"/>
        <v>54</v>
      </c>
      <c r="G435" t="s">
        <v>14</v>
      </c>
      <c r="H435">
        <v>792</v>
      </c>
      <c r="I435" s="6"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5">
        <v>41603.25</v>
      </c>
      <c r="O435" s="5">
        <v>41619.25</v>
      </c>
      <c r="P435" t="b">
        <v>0</v>
      </c>
      <c r="Q435" t="b">
        <v>1</v>
      </c>
      <c r="R435" t="s">
        <v>42</v>
      </c>
      <c r="S435" t="s">
        <v>2042</v>
      </c>
      <c r="T435" t="s">
        <v>2043</v>
      </c>
    </row>
    <row r="436" spans="1:20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6"/>
        <v>17</v>
      </c>
      <c r="G436" t="s">
        <v>74</v>
      </c>
      <c r="H436">
        <v>10</v>
      </c>
      <c r="I436" s="6">
        <v>90.3</v>
      </c>
      <c r="J436" t="s">
        <v>15</v>
      </c>
      <c r="K436" t="s">
        <v>16</v>
      </c>
      <c r="L436">
        <v>1480572000</v>
      </c>
      <c r="M436">
        <v>1481781600</v>
      </c>
      <c r="N436" s="5">
        <v>42705.25</v>
      </c>
      <c r="O436" s="5">
        <v>42719.25</v>
      </c>
      <c r="P436" t="b">
        <v>1</v>
      </c>
      <c r="Q436" t="b">
        <v>0</v>
      </c>
      <c r="R436" t="s">
        <v>33</v>
      </c>
      <c r="S436" t="s">
        <v>2040</v>
      </c>
      <c r="T436" t="s">
        <v>2041</v>
      </c>
    </row>
    <row r="437" spans="1:20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6"/>
        <v>117</v>
      </c>
      <c r="G437" t="s">
        <v>20</v>
      </c>
      <c r="H437">
        <v>1713</v>
      </c>
      <c r="I437" s="6"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5">
        <v>41988.25</v>
      </c>
      <c r="O437" s="5">
        <v>42000.25</v>
      </c>
      <c r="P437" t="b">
        <v>0</v>
      </c>
      <c r="Q437" t="b">
        <v>1</v>
      </c>
      <c r="R437" t="s">
        <v>33</v>
      </c>
      <c r="S437" t="s">
        <v>2040</v>
      </c>
      <c r="T437" t="s">
        <v>2041</v>
      </c>
    </row>
    <row r="438" spans="1:20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6"/>
        <v>1052</v>
      </c>
      <c r="G438" t="s">
        <v>20</v>
      </c>
      <c r="H438">
        <v>249</v>
      </c>
      <c r="I438" s="6"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5">
        <v>43575.208333333336</v>
      </c>
      <c r="O438" s="5">
        <v>43576.208333333336</v>
      </c>
      <c r="P438" t="b">
        <v>0</v>
      </c>
      <c r="Q438" t="b">
        <v>0</v>
      </c>
      <c r="R438" t="s">
        <v>159</v>
      </c>
      <c r="S438" t="s">
        <v>2036</v>
      </c>
      <c r="T438" t="s">
        <v>2059</v>
      </c>
    </row>
    <row r="439" spans="1:20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6"/>
        <v>123</v>
      </c>
      <c r="G439" t="s">
        <v>20</v>
      </c>
      <c r="H439">
        <v>192</v>
      </c>
      <c r="I439" s="6">
        <v>51.921875</v>
      </c>
      <c r="J439" t="s">
        <v>21</v>
      </c>
      <c r="K439" t="s">
        <v>22</v>
      </c>
      <c r="L439">
        <v>1442120400</v>
      </c>
      <c r="M439">
        <v>1442379600</v>
      </c>
      <c r="N439" s="5">
        <v>42260.208333333336</v>
      </c>
      <c r="O439" s="5">
        <v>42263.208333333336</v>
      </c>
      <c r="P439" t="b">
        <v>0</v>
      </c>
      <c r="Q439" t="b">
        <v>1</v>
      </c>
      <c r="R439" t="s">
        <v>71</v>
      </c>
      <c r="S439" t="s">
        <v>2042</v>
      </c>
      <c r="T439" t="s">
        <v>2050</v>
      </c>
    </row>
    <row r="440" spans="1:20" ht="31.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6"/>
        <v>179</v>
      </c>
      <c r="G440" t="s">
        <v>20</v>
      </c>
      <c r="H440">
        <v>247</v>
      </c>
      <c r="I440" s="6"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5">
        <v>41337.25</v>
      </c>
      <c r="O440" s="5">
        <v>41367.208333333336</v>
      </c>
      <c r="P440" t="b">
        <v>0</v>
      </c>
      <c r="Q440" t="b">
        <v>0</v>
      </c>
      <c r="R440" t="s">
        <v>33</v>
      </c>
      <c r="S440" t="s">
        <v>2040</v>
      </c>
      <c r="T440" t="s">
        <v>2041</v>
      </c>
    </row>
    <row r="441" spans="1:20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6"/>
        <v>355</v>
      </c>
      <c r="G441" t="s">
        <v>20</v>
      </c>
      <c r="H441">
        <v>2293</v>
      </c>
      <c r="I441" s="6"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5">
        <v>42680.208333333336</v>
      </c>
      <c r="O441" s="5">
        <v>42687.25</v>
      </c>
      <c r="P441" t="b">
        <v>0</v>
      </c>
      <c r="Q441" t="b">
        <v>0</v>
      </c>
      <c r="R441" t="s">
        <v>474</v>
      </c>
      <c r="S441" t="s">
        <v>2042</v>
      </c>
      <c r="T441" t="s">
        <v>2064</v>
      </c>
    </row>
    <row r="442" spans="1:20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6"/>
        <v>162</v>
      </c>
      <c r="G442" t="s">
        <v>20</v>
      </c>
      <c r="H442">
        <v>3131</v>
      </c>
      <c r="I442" s="6"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5">
        <v>42916.208333333336</v>
      </c>
      <c r="O442" s="5">
        <v>42926.208333333336</v>
      </c>
      <c r="P442" t="b">
        <v>0</v>
      </c>
      <c r="Q442" t="b">
        <v>0</v>
      </c>
      <c r="R442" t="s">
        <v>269</v>
      </c>
      <c r="S442" t="s">
        <v>2042</v>
      </c>
      <c r="T442" t="s">
        <v>2061</v>
      </c>
    </row>
    <row r="443" spans="1:20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6"/>
        <v>25</v>
      </c>
      <c r="G443" t="s">
        <v>14</v>
      </c>
      <c r="H443">
        <v>32</v>
      </c>
      <c r="I443" s="6">
        <v>54.5</v>
      </c>
      <c r="J443" t="s">
        <v>21</v>
      </c>
      <c r="K443" t="s">
        <v>22</v>
      </c>
      <c r="L443">
        <v>1335416400</v>
      </c>
      <c r="M443">
        <v>1337835600</v>
      </c>
      <c r="N443" s="5">
        <v>41025.208333333336</v>
      </c>
      <c r="O443" s="5">
        <v>41053.208333333336</v>
      </c>
      <c r="P443" t="b">
        <v>0</v>
      </c>
      <c r="Q443" t="b">
        <v>0</v>
      </c>
      <c r="R443" t="s">
        <v>65</v>
      </c>
      <c r="S443" t="s">
        <v>2038</v>
      </c>
      <c r="T443" t="s">
        <v>2047</v>
      </c>
    </row>
    <row r="444" spans="1:20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6"/>
        <v>199</v>
      </c>
      <c r="G444" t="s">
        <v>20</v>
      </c>
      <c r="H444">
        <v>143</v>
      </c>
      <c r="I444" s="6"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5">
        <v>42980.208333333336</v>
      </c>
      <c r="O444" s="5">
        <v>42996.208333333336</v>
      </c>
      <c r="P444" t="b">
        <v>0</v>
      </c>
      <c r="Q444" t="b">
        <v>0</v>
      </c>
      <c r="R444" t="s">
        <v>33</v>
      </c>
      <c r="S444" t="s">
        <v>2040</v>
      </c>
      <c r="T444" t="s">
        <v>2041</v>
      </c>
    </row>
    <row r="445" spans="1:20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6"/>
        <v>35</v>
      </c>
      <c r="G445" t="s">
        <v>74</v>
      </c>
      <c r="H445">
        <v>90</v>
      </c>
      <c r="I445" s="6"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5">
        <v>40451.208333333336</v>
      </c>
      <c r="O445" s="5">
        <v>40470.208333333336</v>
      </c>
      <c r="P445" t="b">
        <v>0</v>
      </c>
      <c r="Q445" t="b">
        <v>0</v>
      </c>
      <c r="R445" t="s">
        <v>33</v>
      </c>
      <c r="S445" t="s">
        <v>2040</v>
      </c>
      <c r="T445" t="s">
        <v>2041</v>
      </c>
    </row>
    <row r="446" spans="1:20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6"/>
        <v>176</v>
      </c>
      <c r="G446" t="s">
        <v>20</v>
      </c>
      <c r="H446">
        <v>296</v>
      </c>
      <c r="I446" s="6"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5">
        <v>40748.208333333336</v>
      </c>
      <c r="O446" s="5">
        <v>40750.208333333336</v>
      </c>
      <c r="P446" t="b">
        <v>0</v>
      </c>
      <c r="Q446" t="b">
        <v>1</v>
      </c>
      <c r="R446" t="s">
        <v>60</v>
      </c>
      <c r="S446" t="s">
        <v>2036</v>
      </c>
      <c r="T446" t="s">
        <v>2046</v>
      </c>
    </row>
    <row r="447" spans="1:20" ht="31.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6"/>
        <v>511</v>
      </c>
      <c r="G447" t="s">
        <v>20</v>
      </c>
      <c r="H447">
        <v>170</v>
      </c>
      <c r="I447" s="6"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5">
        <v>40515.25</v>
      </c>
      <c r="O447" s="5">
        <v>40536.25</v>
      </c>
      <c r="P447" t="b">
        <v>0</v>
      </c>
      <c r="Q447" t="b">
        <v>1</v>
      </c>
      <c r="R447" t="s">
        <v>33</v>
      </c>
      <c r="S447" t="s">
        <v>2040</v>
      </c>
      <c r="T447" t="s">
        <v>2041</v>
      </c>
    </row>
    <row r="448" spans="1:20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6"/>
        <v>82</v>
      </c>
      <c r="G448" t="s">
        <v>14</v>
      </c>
      <c r="H448">
        <v>186</v>
      </c>
      <c r="I448" s="6"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5">
        <v>41261.25</v>
      </c>
      <c r="O448" s="5">
        <v>41263.25</v>
      </c>
      <c r="P448" t="b">
        <v>0</v>
      </c>
      <c r="Q448" t="b">
        <v>0</v>
      </c>
      <c r="R448" t="s">
        <v>65</v>
      </c>
      <c r="S448" t="s">
        <v>2038</v>
      </c>
      <c r="T448" t="s">
        <v>2047</v>
      </c>
    </row>
    <row r="449" spans="1:20" ht="31.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6"/>
        <v>24</v>
      </c>
      <c r="G449" t="s">
        <v>74</v>
      </c>
      <c r="H449">
        <v>439</v>
      </c>
      <c r="I449" s="6">
        <v>86</v>
      </c>
      <c r="J449" t="s">
        <v>40</v>
      </c>
      <c r="K449" t="s">
        <v>41</v>
      </c>
      <c r="L449">
        <v>1513663200</v>
      </c>
      <c r="M449">
        <v>1515045600</v>
      </c>
      <c r="N449" s="5">
        <v>43088.25</v>
      </c>
      <c r="O449" s="5">
        <v>43104.25</v>
      </c>
      <c r="P449" t="b">
        <v>0</v>
      </c>
      <c r="Q449" t="b">
        <v>0</v>
      </c>
      <c r="R449" t="s">
        <v>269</v>
      </c>
      <c r="S449" t="s">
        <v>2042</v>
      </c>
      <c r="T449" t="s">
        <v>2061</v>
      </c>
    </row>
    <row r="450" spans="1:20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6"/>
        <v>50</v>
      </c>
      <c r="G450" t="s">
        <v>14</v>
      </c>
      <c r="H450">
        <v>605</v>
      </c>
      <c r="I450" s="6"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5">
        <v>41378.208333333336</v>
      </c>
      <c r="O450" s="5">
        <v>41380.208333333336</v>
      </c>
      <c r="P450" t="b">
        <v>0</v>
      </c>
      <c r="Q450" t="b">
        <v>1</v>
      </c>
      <c r="R450" t="s">
        <v>89</v>
      </c>
      <c r="S450" t="s">
        <v>2051</v>
      </c>
      <c r="T450" t="s">
        <v>2052</v>
      </c>
    </row>
    <row r="451" spans="1:20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si="6"/>
        <v>967</v>
      </c>
      <c r="G451" t="s">
        <v>20</v>
      </c>
      <c r="H451">
        <v>86</v>
      </c>
      <c r="I451" s="6"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5">
        <v>43530.25</v>
      </c>
      <c r="O451" s="5">
        <v>43547.208333333336</v>
      </c>
      <c r="P451" t="b">
        <v>0</v>
      </c>
      <c r="Q451" t="b">
        <v>0</v>
      </c>
      <c r="R451" t="s">
        <v>89</v>
      </c>
      <c r="S451" t="s">
        <v>2051</v>
      </c>
      <c r="T451" t="s">
        <v>2052</v>
      </c>
    </row>
    <row r="452" spans="1:20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ref="F452:F515" si="7">ROUND(E452/D452*100,0)</f>
        <v>4</v>
      </c>
      <c r="G452" t="s">
        <v>14</v>
      </c>
      <c r="H452">
        <v>1</v>
      </c>
      <c r="I452" s="6">
        <v>4</v>
      </c>
      <c r="J452" t="s">
        <v>15</v>
      </c>
      <c r="K452" t="s">
        <v>16</v>
      </c>
      <c r="L452">
        <v>1540098000</v>
      </c>
      <c r="M452">
        <v>1542088800</v>
      </c>
      <c r="N452" s="5">
        <v>43394.208333333336</v>
      </c>
      <c r="O452" s="5">
        <v>43417.25</v>
      </c>
      <c r="P452" t="b">
        <v>0</v>
      </c>
      <c r="Q452" t="b">
        <v>0</v>
      </c>
      <c r="R452" t="s">
        <v>71</v>
      </c>
      <c r="S452" t="s">
        <v>2042</v>
      </c>
      <c r="T452" t="s">
        <v>2050</v>
      </c>
    </row>
    <row r="453" spans="1:20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7"/>
        <v>123</v>
      </c>
      <c r="G453" t="s">
        <v>20</v>
      </c>
      <c r="H453">
        <v>6286</v>
      </c>
      <c r="I453" s="6"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5">
        <v>42935.208333333336</v>
      </c>
      <c r="O453" s="5">
        <v>42966.208333333336</v>
      </c>
      <c r="P453" t="b">
        <v>0</v>
      </c>
      <c r="Q453" t="b">
        <v>0</v>
      </c>
      <c r="R453" t="s">
        <v>23</v>
      </c>
      <c r="S453" t="s">
        <v>2036</v>
      </c>
      <c r="T453" t="s">
        <v>2037</v>
      </c>
    </row>
    <row r="454" spans="1:20" ht="31.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7"/>
        <v>63</v>
      </c>
      <c r="G454" t="s">
        <v>14</v>
      </c>
      <c r="H454">
        <v>31</v>
      </c>
      <c r="I454" s="6"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5">
        <v>40365.208333333336</v>
      </c>
      <c r="O454" s="5">
        <v>40366.208333333336</v>
      </c>
      <c r="P454" t="b">
        <v>0</v>
      </c>
      <c r="Q454" t="b">
        <v>0</v>
      </c>
      <c r="R454" t="s">
        <v>53</v>
      </c>
      <c r="S454" t="s">
        <v>2042</v>
      </c>
      <c r="T454" t="s">
        <v>2045</v>
      </c>
    </row>
    <row r="455" spans="1:20" ht="31.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7"/>
        <v>56</v>
      </c>
      <c r="G455" t="s">
        <v>14</v>
      </c>
      <c r="H455">
        <v>1181</v>
      </c>
      <c r="I455" s="6"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5">
        <v>42705.25</v>
      </c>
      <c r="O455" s="5">
        <v>42746.25</v>
      </c>
      <c r="P455" t="b">
        <v>0</v>
      </c>
      <c r="Q455" t="b">
        <v>0</v>
      </c>
      <c r="R455" t="s">
        <v>474</v>
      </c>
      <c r="S455" t="s">
        <v>2042</v>
      </c>
      <c r="T455" t="s">
        <v>2064</v>
      </c>
    </row>
    <row r="456" spans="1:20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7"/>
        <v>44</v>
      </c>
      <c r="G456" t="s">
        <v>14</v>
      </c>
      <c r="H456">
        <v>39</v>
      </c>
      <c r="I456" s="6"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5">
        <v>41568.208333333336</v>
      </c>
      <c r="O456" s="5">
        <v>41604.25</v>
      </c>
      <c r="P456" t="b">
        <v>0</v>
      </c>
      <c r="Q456" t="b">
        <v>1</v>
      </c>
      <c r="R456" t="s">
        <v>53</v>
      </c>
      <c r="S456" t="s">
        <v>2042</v>
      </c>
      <c r="T456" t="s">
        <v>2045</v>
      </c>
    </row>
    <row r="457" spans="1:20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7"/>
        <v>118</v>
      </c>
      <c r="G457" t="s">
        <v>20</v>
      </c>
      <c r="H457">
        <v>3727</v>
      </c>
      <c r="I457" s="6"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5">
        <v>40809.208333333336</v>
      </c>
      <c r="O457" s="5">
        <v>40832.208333333336</v>
      </c>
      <c r="P457" t="b">
        <v>0</v>
      </c>
      <c r="Q457" t="b">
        <v>0</v>
      </c>
      <c r="R457" t="s">
        <v>33</v>
      </c>
      <c r="S457" t="s">
        <v>2040</v>
      </c>
      <c r="T457" t="s">
        <v>2041</v>
      </c>
    </row>
    <row r="458" spans="1:20" ht="31.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7"/>
        <v>104</v>
      </c>
      <c r="G458" t="s">
        <v>20</v>
      </c>
      <c r="H458">
        <v>1605</v>
      </c>
      <c r="I458" s="6"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5">
        <v>43141.25</v>
      </c>
      <c r="O458" s="5">
        <v>43141.25</v>
      </c>
      <c r="P458" t="b">
        <v>0</v>
      </c>
      <c r="Q458" t="b">
        <v>1</v>
      </c>
      <c r="R458" t="s">
        <v>60</v>
      </c>
      <c r="S458" t="s">
        <v>2036</v>
      </c>
      <c r="T458" t="s">
        <v>2046</v>
      </c>
    </row>
    <row r="459" spans="1:20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7"/>
        <v>27</v>
      </c>
      <c r="G459" t="s">
        <v>14</v>
      </c>
      <c r="H459">
        <v>46</v>
      </c>
      <c r="I459" s="6"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5">
        <v>42657.208333333336</v>
      </c>
      <c r="O459" s="5">
        <v>42659.208333333336</v>
      </c>
      <c r="P459" t="b">
        <v>0</v>
      </c>
      <c r="Q459" t="b">
        <v>0</v>
      </c>
      <c r="R459" t="s">
        <v>33</v>
      </c>
      <c r="S459" t="s">
        <v>2040</v>
      </c>
      <c r="T459" t="s">
        <v>2041</v>
      </c>
    </row>
    <row r="460" spans="1:20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7"/>
        <v>351</v>
      </c>
      <c r="G460" t="s">
        <v>20</v>
      </c>
      <c r="H460">
        <v>2120</v>
      </c>
      <c r="I460" s="6"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5">
        <v>40265.208333333336</v>
      </c>
      <c r="O460" s="5">
        <v>40309.208333333336</v>
      </c>
      <c r="P460" t="b">
        <v>0</v>
      </c>
      <c r="Q460" t="b">
        <v>0</v>
      </c>
      <c r="R460" t="s">
        <v>33</v>
      </c>
      <c r="S460" t="s">
        <v>2040</v>
      </c>
      <c r="T460" t="s">
        <v>2041</v>
      </c>
    </row>
    <row r="461" spans="1:20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7"/>
        <v>90</v>
      </c>
      <c r="G461" t="s">
        <v>14</v>
      </c>
      <c r="H461">
        <v>105</v>
      </c>
      <c r="I461" s="6"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5">
        <v>42001.25</v>
      </c>
      <c r="O461" s="5">
        <v>42026.25</v>
      </c>
      <c r="P461" t="b">
        <v>0</v>
      </c>
      <c r="Q461" t="b">
        <v>0</v>
      </c>
      <c r="R461" t="s">
        <v>42</v>
      </c>
      <c r="S461" t="s">
        <v>2042</v>
      </c>
      <c r="T461" t="s">
        <v>2043</v>
      </c>
    </row>
    <row r="462" spans="1:20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7"/>
        <v>172</v>
      </c>
      <c r="G462" t="s">
        <v>20</v>
      </c>
      <c r="H462">
        <v>50</v>
      </c>
      <c r="I462" s="6">
        <v>82.38</v>
      </c>
      <c r="J462" t="s">
        <v>21</v>
      </c>
      <c r="K462" t="s">
        <v>22</v>
      </c>
      <c r="L462">
        <v>1281330000</v>
      </c>
      <c r="M462">
        <v>1281589200</v>
      </c>
      <c r="N462" s="5">
        <v>40399.208333333336</v>
      </c>
      <c r="O462" s="5">
        <v>40402.208333333336</v>
      </c>
      <c r="P462" t="b">
        <v>0</v>
      </c>
      <c r="Q462" t="b">
        <v>0</v>
      </c>
      <c r="R462" t="s">
        <v>33</v>
      </c>
      <c r="S462" t="s">
        <v>2040</v>
      </c>
      <c r="T462" t="s">
        <v>2041</v>
      </c>
    </row>
    <row r="463" spans="1:20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7"/>
        <v>141</v>
      </c>
      <c r="G463" t="s">
        <v>20</v>
      </c>
      <c r="H463">
        <v>2080</v>
      </c>
      <c r="I463" s="6"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5">
        <v>41757.208333333336</v>
      </c>
      <c r="O463" s="5">
        <v>41777.208333333336</v>
      </c>
      <c r="P463" t="b">
        <v>0</v>
      </c>
      <c r="Q463" t="b">
        <v>0</v>
      </c>
      <c r="R463" t="s">
        <v>53</v>
      </c>
      <c r="S463" t="s">
        <v>2042</v>
      </c>
      <c r="T463" t="s">
        <v>2045</v>
      </c>
    </row>
    <row r="464" spans="1:20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7"/>
        <v>31</v>
      </c>
      <c r="G464" t="s">
        <v>14</v>
      </c>
      <c r="H464">
        <v>535</v>
      </c>
      <c r="I464" s="6"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5">
        <v>41304.25</v>
      </c>
      <c r="O464" s="5">
        <v>41342.25</v>
      </c>
      <c r="P464" t="b">
        <v>0</v>
      </c>
      <c r="Q464" t="b">
        <v>0</v>
      </c>
      <c r="R464" t="s">
        <v>292</v>
      </c>
      <c r="S464" t="s">
        <v>2051</v>
      </c>
      <c r="T464" t="s">
        <v>2062</v>
      </c>
    </row>
    <row r="465" spans="1:20" ht="31.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7"/>
        <v>108</v>
      </c>
      <c r="G465" t="s">
        <v>20</v>
      </c>
      <c r="H465">
        <v>2105</v>
      </c>
      <c r="I465" s="6"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5">
        <v>41639.25</v>
      </c>
      <c r="O465" s="5">
        <v>41643.25</v>
      </c>
      <c r="P465" t="b">
        <v>0</v>
      </c>
      <c r="Q465" t="b">
        <v>0</v>
      </c>
      <c r="R465" t="s">
        <v>71</v>
      </c>
      <c r="S465" t="s">
        <v>2042</v>
      </c>
      <c r="T465" t="s">
        <v>2050</v>
      </c>
    </row>
    <row r="466" spans="1:20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7"/>
        <v>133</v>
      </c>
      <c r="G466" t="s">
        <v>20</v>
      </c>
      <c r="H466">
        <v>2436</v>
      </c>
      <c r="I466" s="6"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5">
        <v>43142.25</v>
      </c>
      <c r="O466" s="5">
        <v>43156.25</v>
      </c>
      <c r="P466" t="b">
        <v>0</v>
      </c>
      <c r="Q466" t="b">
        <v>0</v>
      </c>
      <c r="R466" t="s">
        <v>33</v>
      </c>
      <c r="S466" t="s">
        <v>2040</v>
      </c>
      <c r="T466" t="s">
        <v>2041</v>
      </c>
    </row>
    <row r="467" spans="1:20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7"/>
        <v>188</v>
      </c>
      <c r="G467" t="s">
        <v>20</v>
      </c>
      <c r="H467">
        <v>80</v>
      </c>
      <c r="I467" s="6">
        <v>110.3625</v>
      </c>
      <c r="J467" t="s">
        <v>21</v>
      </c>
      <c r="K467" t="s">
        <v>22</v>
      </c>
      <c r="L467">
        <v>1517032800</v>
      </c>
      <c r="M467">
        <v>1517810400</v>
      </c>
      <c r="N467" s="5">
        <v>43127.25</v>
      </c>
      <c r="O467" s="5">
        <v>43136.25</v>
      </c>
      <c r="P467" t="b">
        <v>0</v>
      </c>
      <c r="Q467" t="b">
        <v>0</v>
      </c>
      <c r="R467" t="s">
        <v>206</v>
      </c>
      <c r="S467" t="s">
        <v>2048</v>
      </c>
      <c r="T467" t="s">
        <v>2060</v>
      </c>
    </row>
    <row r="468" spans="1:20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7"/>
        <v>332</v>
      </c>
      <c r="G468" t="s">
        <v>20</v>
      </c>
      <c r="H468">
        <v>42</v>
      </c>
      <c r="I468" s="6"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5">
        <v>41409.208333333336</v>
      </c>
      <c r="O468" s="5">
        <v>41432.208333333336</v>
      </c>
      <c r="P468" t="b">
        <v>0</v>
      </c>
      <c r="Q468" t="b">
        <v>1</v>
      </c>
      <c r="R468" t="s">
        <v>65</v>
      </c>
      <c r="S468" t="s">
        <v>2038</v>
      </c>
      <c r="T468" t="s">
        <v>2047</v>
      </c>
    </row>
    <row r="469" spans="1:20" ht="31.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7"/>
        <v>575</v>
      </c>
      <c r="G469" t="s">
        <v>20</v>
      </c>
      <c r="H469">
        <v>139</v>
      </c>
      <c r="I469" s="6"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5">
        <v>42331.25</v>
      </c>
      <c r="O469" s="5">
        <v>42338.25</v>
      </c>
      <c r="P469" t="b">
        <v>0</v>
      </c>
      <c r="Q469" t="b">
        <v>1</v>
      </c>
      <c r="R469" t="s">
        <v>28</v>
      </c>
      <c r="S469" t="s">
        <v>2038</v>
      </c>
      <c r="T469" t="s">
        <v>2039</v>
      </c>
    </row>
    <row r="470" spans="1:20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7"/>
        <v>41</v>
      </c>
      <c r="G470" t="s">
        <v>14</v>
      </c>
      <c r="H470">
        <v>16</v>
      </c>
      <c r="I470" s="6">
        <v>101.25</v>
      </c>
      <c r="J470" t="s">
        <v>21</v>
      </c>
      <c r="K470" t="s">
        <v>22</v>
      </c>
      <c r="L470">
        <v>1555218000</v>
      </c>
      <c r="M470">
        <v>1556600400</v>
      </c>
      <c r="N470" s="5">
        <v>43569.208333333336</v>
      </c>
      <c r="O470" s="5">
        <v>43585.208333333336</v>
      </c>
      <c r="P470" t="b">
        <v>0</v>
      </c>
      <c r="Q470" t="b">
        <v>0</v>
      </c>
      <c r="R470" t="s">
        <v>33</v>
      </c>
      <c r="S470" t="s">
        <v>2040</v>
      </c>
      <c r="T470" t="s">
        <v>2041</v>
      </c>
    </row>
    <row r="471" spans="1:20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7"/>
        <v>184</v>
      </c>
      <c r="G471" t="s">
        <v>20</v>
      </c>
      <c r="H471">
        <v>159</v>
      </c>
      <c r="I471" s="6"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5">
        <v>42142.208333333336</v>
      </c>
      <c r="O471" s="5">
        <v>42144.208333333336</v>
      </c>
      <c r="P471" t="b">
        <v>0</v>
      </c>
      <c r="Q471" t="b">
        <v>0</v>
      </c>
      <c r="R471" t="s">
        <v>53</v>
      </c>
      <c r="S471" t="s">
        <v>2042</v>
      </c>
      <c r="T471" t="s">
        <v>2045</v>
      </c>
    </row>
    <row r="472" spans="1:20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7"/>
        <v>286</v>
      </c>
      <c r="G472" t="s">
        <v>20</v>
      </c>
      <c r="H472">
        <v>381</v>
      </c>
      <c r="I472" s="6"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5">
        <v>42716.25</v>
      </c>
      <c r="O472" s="5">
        <v>42723.25</v>
      </c>
      <c r="P472" t="b">
        <v>0</v>
      </c>
      <c r="Q472" t="b">
        <v>0</v>
      </c>
      <c r="R472" t="s">
        <v>65</v>
      </c>
      <c r="S472" t="s">
        <v>2038</v>
      </c>
      <c r="T472" t="s">
        <v>2047</v>
      </c>
    </row>
    <row r="473" spans="1:20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7"/>
        <v>319</v>
      </c>
      <c r="G473" t="s">
        <v>20</v>
      </c>
      <c r="H473">
        <v>194</v>
      </c>
      <c r="I473" s="6"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5">
        <v>41031.208333333336</v>
      </c>
      <c r="O473" s="5">
        <v>41031.208333333336</v>
      </c>
      <c r="P473" t="b">
        <v>0</v>
      </c>
      <c r="Q473" t="b">
        <v>1</v>
      </c>
      <c r="R473" t="s">
        <v>17</v>
      </c>
      <c r="S473" t="s">
        <v>2034</v>
      </c>
      <c r="T473" t="s">
        <v>2035</v>
      </c>
    </row>
    <row r="474" spans="1:20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7"/>
        <v>39</v>
      </c>
      <c r="G474" t="s">
        <v>14</v>
      </c>
      <c r="H474">
        <v>575</v>
      </c>
      <c r="I474" s="6"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5">
        <v>43535.208333333336</v>
      </c>
      <c r="O474" s="5">
        <v>43589.208333333336</v>
      </c>
      <c r="P474" t="b">
        <v>0</v>
      </c>
      <c r="Q474" t="b">
        <v>0</v>
      </c>
      <c r="R474" t="s">
        <v>23</v>
      </c>
      <c r="S474" t="s">
        <v>2036</v>
      </c>
      <c r="T474" t="s">
        <v>2037</v>
      </c>
    </row>
    <row r="475" spans="1:20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7"/>
        <v>178</v>
      </c>
      <c r="G475" t="s">
        <v>20</v>
      </c>
      <c r="H475">
        <v>106</v>
      </c>
      <c r="I475" s="6"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5">
        <v>43277.208333333336</v>
      </c>
      <c r="O475" s="5">
        <v>43278.208333333336</v>
      </c>
      <c r="P475" t="b">
        <v>0</v>
      </c>
      <c r="Q475" t="b">
        <v>0</v>
      </c>
      <c r="R475" t="s">
        <v>50</v>
      </c>
      <c r="S475" t="s">
        <v>2036</v>
      </c>
      <c r="T475" t="s">
        <v>2044</v>
      </c>
    </row>
    <row r="476" spans="1:20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7"/>
        <v>365</v>
      </c>
      <c r="G476" t="s">
        <v>20</v>
      </c>
      <c r="H476">
        <v>142</v>
      </c>
      <c r="I476" s="6"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5">
        <v>41989.25</v>
      </c>
      <c r="O476" s="5">
        <v>41990.25</v>
      </c>
      <c r="P476" t="b">
        <v>0</v>
      </c>
      <c r="Q476" t="b">
        <v>0</v>
      </c>
      <c r="R476" t="s">
        <v>269</v>
      </c>
      <c r="S476" t="s">
        <v>2042</v>
      </c>
      <c r="T476" t="s">
        <v>2061</v>
      </c>
    </row>
    <row r="477" spans="1:20" ht="31.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7"/>
        <v>114</v>
      </c>
      <c r="G477" t="s">
        <v>20</v>
      </c>
      <c r="H477">
        <v>211</v>
      </c>
      <c r="I477" s="6"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5">
        <v>41450.208333333336</v>
      </c>
      <c r="O477" s="5">
        <v>41454.208333333336</v>
      </c>
      <c r="P477" t="b">
        <v>0</v>
      </c>
      <c r="Q477" t="b">
        <v>1</v>
      </c>
      <c r="R477" t="s">
        <v>206</v>
      </c>
      <c r="S477" t="s">
        <v>2048</v>
      </c>
      <c r="T477" t="s">
        <v>2060</v>
      </c>
    </row>
    <row r="478" spans="1:20" ht="31.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7"/>
        <v>30</v>
      </c>
      <c r="G478" t="s">
        <v>14</v>
      </c>
      <c r="H478">
        <v>1120</v>
      </c>
      <c r="I478" s="6"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5">
        <v>43322.208333333336</v>
      </c>
      <c r="O478" s="5">
        <v>43328.208333333336</v>
      </c>
      <c r="P478" t="b">
        <v>0</v>
      </c>
      <c r="Q478" t="b">
        <v>0</v>
      </c>
      <c r="R478" t="s">
        <v>119</v>
      </c>
      <c r="S478" t="s">
        <v>2048</v>
      </c>
      <c r="T478" t="s">
        <v>2054</v>
      </c>
    </row>
    <row r="479" spans="1:20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7"/>
        <v>54</v>
      </c>
      <c r="G479" t="s">
        <v>14</v>
      </c>
      <c r="H479">
        <v>113</v>
      </c>
      <c r="I479" s="6"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5">
        <v>40720.208333333336</v>
      </c>
      <c r="O479" s="5">
        <v>40747.208333333336</v>
      </c>
      <c r="P479" t="b">
        <v>0</v>
      </c>
      <c r="Q479" t="b">
        <v>0</v>
      </c>
      <c r="R479" t="s">
        <v>474</v>
      </c>
      <c r="S479" t="s">
        <v>2042</v>
      </c>
      <c r="T479" t="s">
        <v>2064</v>
      </c>
    </row>
    <row r="480" spans="1:20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7"/>
        <v>236</v>
      </c>
      <c r="G480" t="s">
        <v>20</v>
      </c>
      <c r="H480">
        <v>2756</v>
      </c>
      <c r="I480" s="6"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5">
        <v>42072.208333333336</v>
      </c>
      <c r="O480" s="5">
        <v>42084.208333333336</v>
      </c>
      <c r="P480" t="b">
        <v>0</v>
      </c>
      <c r="Q480" t="b">
        <v>0</v>
      </c>
      <c r="R480" t="s">
        <v>65</v>
      </c>
      <c r="S480" t="s">
        <v>2038</v>
      </c>
      <c r="T480" t="s">
        <v>2047</v>
      </c>
    </row>
    <row r="481" spans="1:20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7"/>
        <v>513</v>
      </c>
      <c r="G481" t="s">
        <v>20</v>
      </c>
      <c r="H481">
        <v>173</v>
      </c>
      <c r="I481" s="6"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5">
        <v>42945.208333333336</v>
      </c>
      <c r="O481" s="5">
        <v>42947.208333333336</v>
      </c>
      <c r="P481" t="b">
        <v>0</v>
      </c>
      <c r="Q481" t="b">
        <v>0</v>
      </c>
      <c r="R481" t="s">
        <v>17</v>
      </c>
      <c r="S481" t="s">
        <v>2034</v>
      </c>
      <c r="T481" t="s">
        <v>2035</v>
      </c>
    </row>
    <row r="482" spans="1:20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7"/>
        <v>101</v>
      </c>
      <c r="G482" t="s">
        <v>20</v>
      </c>
      <c r="H482">
        <v>87</v>
      </c>
      <c r="I482" s="6"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5">
        <v>40248.25</v>
      </c>
      <c r="O482" s="5">
        <v>40257.208333333336</v>
      </c>
      <c r="P482" t="b">
        <v>0</v>
      </c>
      <c r="Q482" t="b">
        <v>1</v>
      </c>
      <c r="R482" t="s">
        <v>122</v>
      </c>
      <c r="S482" t="s">
        <v>2055</v>
      </c>
      <c r="T482" t="s">
        <v>2056</v>
      </c>
    </row>
    <row r="483" spans="1:20" ht="31.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7"/>
        <v>81</v>
      </c>
      <c r="G483" t="s">
        <v>14</v>
      </c>
      <c r="H483">
        <v>1538</v>
      </c>
      <c r="I483" s="6"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5">
        <v>41913.208333333336</v>
      </c>
      <c r="O483" s="5">
        <v>41955.25</v>
      </c>
      <c r="P483" t="b">
        <v>0</v>
      </c>
      <c r="Q483" t="b">
        <v>1</v>
      </c>
      <c r="R483" t="s">
        <v>33</v>
      </c>
      <c r="S483" t="s">
        <v>2040</v>
      </c>
      <c r="T483" t="s">
        <v>2041</v>
      </c>
    </row>
    <row r="484" spans="1:20" ht="31.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7"/>
        <v>16</v>
      </c>
      <c r="G484" t="s">
        <v>14</v>
      </c>
      <c r="H484">
        <v>9</v>
      </c>
      <c r="I484" s="6"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5">
        <v>40963.25</v>
      </c>
      <c r="O484" s="5">
        <v>40974.25</v>
      </c>
      <c r="P484" t="b">
        <v>0</v>
      </c>
      <c r="Q484" t="b">
        <v>1</v>
      </c>
      <c r="R484" t="s">
        <v>119</v>
      </c>
      <c r="S484" t="s">
        <v>2048</v>
      </c>
      <c r="T484" t="s">
        <v>2054</v>
      </c>
    </row>
    <row r="485" spans="1:20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7"/>
        <v>53</v>
      </c>
      <c r="G485" t="s">
        <v>14</v>
      </c>
      <c r="H485">
        <v>554</v>
      </c>
      <c r="I485" s="6"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5">
        <v>43811.25</v>
      </c>
      <c r="O485" s="5">
        <v>43818.25</v>
      </c>
      <c r="P485" t="b">
        <v>0</v>
      </c>
      <c r="Q485" t="b">
        <v>0</v>
      </c>
      <c r="R485" t="s">
        <v>33</v>
      </c>
      <c r="S485" t="s">
        <v>2040</v>
      </c>
      <c r="T485" t="s">
        <v>2041</v>
      </c>
    </row>
    <row r="486" spans="1:20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7"/>
        <v>260</v>
      </c>
      <c r="G486" t="s">
        <v>20</v>
      </c>
      <c r="H486">
        <v>1572</v>
      </c>
      <c r="I486" s="6"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5">
        <v>41855.208333333336</v>
      </c>
      <c r="O486" s="5">
        <v>41904.208333333336</v>
      </c>
      <c r="P486" t="b">
        <v>0</v>
      </c>
      <c r="Q486" t="b">
        <v>1</v>
      </c>
      <c r="R486" t="s">
        <v>17</v>
      </c>
      <c r="S486" t="s">
        <v>2034</v>
      </c>
      <c r="T486" t="s">
        <v>2035</v>
      </c>
    </row>
    <row r="487" spans="1:20" ht="31.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7"/>
        <v>31</v>
      </c>
      <c r="G487" t="s">
        <v>14</v>
      </c>
      <c r="H487">
        <v>648</v>
      </c>
      <c r="I487" s="6"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5">
        <v>43626.208333333336</v>
      </c>
      <c r="O487" s="5">
        <v>43667.208333333336</v>
      </c>
      <c r="P487" t="b">
        <v>0</v>
      </c>
      <c r="Q487" t="b">
        <v>0</v>
      </c>
      <c r="R487" t="s">
        <v>33</v>
      </c>
      <c r="S487" t="s">
        <v>2040</v>
      </c>
      <c r="T487" t="s">
        <v>2041</v>
      </c>
    </row>
    <row r="488" spans="1:20" ht="31.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7"/>
        <v>14</v>
      </c>
      <c r="G488" t="s">
        <v>14</v>
      </c>
      <c r="H488">
        <v>21</v>
      </c>
      <c r="I488" s="6"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5">
        <v>43168.25</v>
      </c>
      <c r="O488" s="5">
        <v>43183.208333333336</v>
      </c>
      <c r="P488" t="b">
        <v>0</v>
      </c>
      <c r="Q488" t="b">
        <v>1</v>
      </c>
      <c r="R488" t="s">
        <v>206</v>
      </c>
      <c r="S488" t="s">
        <v>2048</v>
      </c>
      <c r="T488" t="s">
        <v>2060</v>
      </c>
    </row>
    <row r="489" spans="1:20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7"/>
        <v>179</v>
      </c>
      <c r="G489" t="s">
        <v>20</v>
      </c>
      <c r="H489">
        <v>2346</v>
      </c>
      <c r="I489" s="6"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5">
        <v>42845.208333333336</v>
      </c>
      <c r="O489" s="5">
        <v>42878.208333333336</v>
      </c>
      <c r="P489" t="b">
        <v>0</v>
      </c>
      <c r="Q489" t="b">
        <v>0</v>
      </c>
      <c r="R489" t="s">
        <v>33</v>
      </c>
      <c r="S489" t="s">
        <v>2040</v>
      </c>
      <c r="T489" t="s">
        <v>2041</v>
      </c>
    </row>
    <row r="490" spans="1:20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7"/>
        <v>220</v>
      </c>
      <c r="G490" t="s">
        <v>20</v>
      </c>
      <c r="H490">
        <v>115</v>
      </c>
      <c r="I490" s="6"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5">
        <v>42403.25</v>
      </c>
      <c r="O490" s="5">
        <v>42420.25</v>
      </c>
      <c r="P490" t="b">
        <v>0</v>
      </c>
      <c r="Q490" t="b">
        <v>0</v>
      </c>
      <c r="R490" t="s">
        <v>33</v>
      </c>
      <c r="S490" t="s">
        <v>2040</v>
      </c>
      <c r="T490" t="s">
        <v>2041</v>
      </c>
    </row>
    <row r="491" spans="1:20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7"/>
        <v>102</v>
      </c>
      <c r="G491" t="s">
        <v>20</v>
      </c>
      <c r="H491">
        <v>85</v>
      </c>
      <c r="I491" s="6"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5">
        <v>40406.208333333336</v>
      </c>
      <c r="O491" s="5">
        <v>40411.208333333336</v>
      </c>
      <c r="P491" t="b">
        <v>0</v>
      </c>
      <c r="Q491" t="b">
        <v>0</v>
      </c>
      <c r="R491" t="s">
        <v>65</v>
      </c>
      <c r="S491" t="s">
        <v>2038</v>
      </c>
      <c r="T491" t="s">
        <v>2047</v>
      </c>
    </row>
    <row r="492" spans="1:20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7"/>
        <v>192</v>
      </c>
      <c r="G492" t="s">
        <v>20</v>
      </c>
      <c r="H492">
        <v>144</v>
      </c>
      <c r="I492" s="6"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5">
        <v>43786.25</v>
      </c>
      <c r="O492" s="5">
        <v>43793.25</v>
      </c>
      <c r="P492" t="b">
        <v>0</v>
      </c>
      <c r="Q492" t="b">
        <v>0</v>
      </c>
      <c r="R492" t="s">
        <v>1029</v>
      </c>
      <c r="S492" t="s">
        <v>2065</v>
      </c>
      <c r="T492" t="s">
        <v>2066</v>
      </c>
    </row>
    <row r="493" spans="1:20" ht="31.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7"/>
        <v>305</v>
      </c>
      <c r="G493" t="s">
        <v>20</v>
      </c>
      <c r="H493">
        <v>2443</v>
      </c>
      <c r="I493" s="6"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5">
        <v>41456.208333333336</v>
      </c>
      <c r="O493" s="5">
        <v>41482.208333333336</v>
      </c>
      <c r="P493" t="b">
        <v>0</v>
      </c>
      <c r="Q493" t="b">
        <v>1</v>
      </c>
      <c r="R493" t="s">
        <v>17</v>
      </c>
      <c r="S493" t="s">
        <v>2034</v>
      </c>
      <c r="T493" t="s">
        <v>2035</v>
      </c>
    </row>
    <row r="494" spans="1:20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7"/>
        <v>24</v>
      </c>
      <c r="G494" t="s">
        <v>74</v>
      </c>
      <c r="H494">
        <v>595</v>
      </c>
      <c r="I494" s="6"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5">
        <v>40336.208333333336</v>
      </c>
      <c r="O494" s="5">
        <v>40371.208333333336</v>
      </c>
      <c r="P494" t="b">
        <v>1</v>
      </c>
      <c r="Q494" t="b">
        <v>1</v>
      </c>
      <c r="R494" t="s">
        <v>100</v>
      </c>
      <c r="S494" t="s">
        <v>2042</v>
      </c>
      <c r="T494" t="s">
        <v>2053</v>
      </c>
    </row>
    <row r="495" spans="1:20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7"/>
        <v>724</v>
      </c>
      <c r="G495" t="s">
        <v>20</v>
      </c>
      <c r="H495">
        <v>64</v>
      </c>
      <c r="I495" s="6">
        <v>101.78125</v>
      </c>
      <c r="J495" t="s">
        <v>21</v>
      </c>
      <c r="K495" t="s">
        <v>22</v>
      </c>
      <c r="L495">
        <v>1561784400</v>
      </c>
      <c r="M495">
        <v>1562907600</v>
      </c>
      <c r="N495" s="5">
        <v>43645.208333333336</v>
      </c>
      <c r="O495" s="5">
        <v>43658.208333333336</v>
      </c>
      <c r="P495" t="b">
        <v>0</v>
      </c>
      <c r="Q495" t="b">
        <v>0</v>
      </c>
      <c r="R495" t="s">
        <v>122</v>
      </c>
      <c r="S495" t="s">
        <v>2055</v>
      </c>
      <c r="T495" t="s">
        <v>2056</v>
      </c>
    </row>
    <row r="496" spans="1:20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7"/>
        <v>547</v>
      </c>
      <c r="G496" t="s">
        <v>20</v>
      </c>
      <c r="H496">
        <v>268</v>
      </c>
      <c r="I496" s="6"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5">
        <v>40990.208333333336</v>
      </c>
      <c r="O496" s="5">
        <v>40991.208333333336</v>
      </c>
      <c r="P496" t="b">
        <v>0</v>
      </c>
      <c r="Q496" t="b">
        <v>0</v>
      </c>
      <c r="R496" t="s">
        <v>65</v>
      </c>
      <c r="S496" t="s">
        <v>2038</v>
      </c>
      <c r="T496" t="s">
        <v>2047</v>
      </c>
    </row>
    <row r="497" spans="1:20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7"/>
        <v>415</v>
      </c>
      <c r="G497" t="s">
        <v>20</v>
      </c>
      <c r="H497">
        <v>195</v>
      </c>
      <c r="I497" s="6"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5">
        <v>41800.208333333336</v>
      </c>
      <c r="O497" s="5">
        <v>41804.208333333336</v>
      </c>
      <c r="P497" t="b">
        <v>0</v>
      </c>
      <c r="Q497" t="b">
        <v>0</v>
      </c>
      <c r="R497" t="s">
        <v>33</v>
      </c>
      <c r="S497" t="s">
        <v>2040</v>
      </c>
      <c r="T497" t="s">
        <v>2041</v>
      </c>
    </row>
    <row r="498" spans="1:20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7"/>
        <v>1</v>
      </c>
      <c r="G498" t="s">
        <v>14</v>
      </c>
      <c r="H498">
        <v>54</v>
      </c>
      <c r="I498" s="6"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5">
        <v>42876.208333333336</v>
      </c>
      <c r="O498" s="5">
        <v>42893.208333333336</v>
      </c>
      <c r="P498" t="b">
        <v>0</v>
      </c>
      <c r="Q498" t="b">
        <v>0</v>
      </c>
      <c r="R498" t="s">
        <v>71</v>
      </c>
      <c r="S498" t="s">
        <v>2042</v>
      </c>
      <c r="T498" t="s">
        <v>2050</v>
      </c>
    </row>
    <row r="499" spans="1:20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7"/>
        <v>34</v>
      </c>
      <c r="G499" t="s">
        <v>14</v>
      </c>
      <c r="H499">
        <v>120</v>
      </c>
      <c r="I499" s="6"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5">
        <v>42724.25</v>
      </c>
      <c r="O499" s="5">
        <v>42724.25</v>
      </c>
      <c r="P499" t="b">
        <v>0</v>
      </c>
      <c r="Q499" t="b">
        <v>1</v>
      </c>
      <c r="R499" t="s">
        <v>65</v>
      </c>
      <c r="S499" t="s">
        <v>2038</v>
      </c>
      <c r="T499" t="s">
        <v>2047</v>
      </c>
    </row>
    <row r="500" spans="1:20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7"/>
        <v>24</v>
      </c>
      <c r="G500" t="s">
        <v>14</v>
      </c>
      <c r="H500">
        <v>579</v>
      </c>
      <c r="I500" s="6"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5">
        <v>42005.25</v>
      </c>
      <c r="O500" s="5">
        <v>42007.25</v>
      </c>
      <c r="P500" t="b">
        <v>0</v>
      </c>
      <c r="Q500" t="b">
        <v>0</v>
      </c>
      <c r="R500" t="s">
        <v>28</v>
      </c>
      <c r="S500" t="s">
        <v>2038</v>
      </c>
      <c r="T500" t="s">
        <v>2039</v>
      </c>
    </row>
    <row r="501" spans="1:20" ht="31.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7"/>
        <v>48</v>
      </c>
      <c r="G501" t="s">
        <v>14</v>
      </c>
      <c r="H501">
        <v>2072</v>
      </c>
      <c r="I501" s="6"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5">
        <v>42444.208333333336</v>
      </c>
      <c r="O501" s="5">
        <v>42449.208333333336</v>
      </c>
      <c r="P501" t="b">
        <v>0</v>
      </c>
      <c r="Q501" t="b">
        <v>1</v>
      </c>
      <c r="R501" t="s">
        <v>42</v>
      </c>
      <c r="S501" t="s">
        <v>2042</v>
      </c>
      <c r="T501" t="s">
        <v>2043</v>
      </c>
    </row>
    <row r="502" spans="1:20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7"/>
        <v>0</v>
      </c>
      <c r="G502" t="s">
        <v>14</v>
      </c>
      <c r="H502">
        <v>0</v>
      </c>
      <c r="I502">
        <v>0</v>
      </c>
      <c r="J502" t="s">
        <v>21</v>
      </c>
      <c r="K502" t="s">
        <v>22</v>
      </c>
      <c r="L502">
        <v>1367384400</v>
      </c>
      <c r="M502">
        <v>1369803600</v>
      </c>
      <c r="N502" s="5">
        <v>41395.208333333336</v>
      </c>
      <c r="O502" s="5">
        <v>41423.208333333336</v>
      </c>
      <c r="P502" t="b">
        <v>0</v>
      </c>
      <c r="Q502" t="b">
        <v>1</v>
      </c>
      <c r="R502" t="s">
        <v>33</v>
      </c>
      <c r="S502" t="s">
        <v>2040</v>
      </c>
      <c r="T502" t="s">
        <v>2041</v>
      </c>
    </row>
    <row r="503" spans="1:20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7"/>
        <v>70</v>
      </c>
      <c r="G503" t="s">
        <v>14</v>
      </c>
      <c r="H503">
        <v>1796</v>
      </c>
      <c r="I503" s="6"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5">
        <v>41345.208333333336</v>
      </c>
      <c r="O503" s="5">
        <v>41347.208333333336</v>
      </c>
      <c r="P503" t="b">
        <v>0</v>
      </c>
      <c r="Q503" t="b">
        <v>0</v>
      </c>
      <c r="R503" t="s">
        <v>42</v>
      </c>
      <c r="S503" t="s">
        <v>2042</v>
      </c>
      <c r="T503" t="s">
        <v>2043</v>
      </c>
    </row>
    <row r="504" spans="1:20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7"/>
        <v>530</v>
      </c>
      <c r="G504" t="s">
        <v>20</v>
      </c>
      <c r="H504">
        <v>186</v>
      </c>
      <c r="I504" s="6"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5">
        <v>41117.208333333336</v>
      </c>
      <c r="O504" s="5">
        <v>41146.208333333336</v>
      </c>
      <c r="P504" t="b">
        <v>0</v>
      </c>
      <c r="Q504" t="b">
        <v>1</v>
      </c>
      <c r="R504" t="s">
        <v>89</v>
      </c>
      <c r="S504" t="s">
        <v>2051</v>
      </c>
      <c r="T504" t="s">
        <v>2052</v>
      </c>
    </row>
    <row r="505" spans="1:20" ht="31.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7"/>
        <v>180</v>
      </c>
      <c r="G505" t="s">
        <v>20</v>
      </c>
      <c r="H505">
        <v>460</v>
      </c>
      <c r="I505" s="6"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5">
        <v>42186.208333333336</v>
      </c>
      <c r="O505" s="5">
        <v>42206.208333333336</v>
      </c>
      <c r="P505" t="b">
        <v>0</v>
      </c>
      <c r="Q505" t="b">
        <v>0</v>
      </c>
      <c r="R505" t="s">
        <v>53</v>
      </c>
      <c r="S505" t="s">
        <v>2042</v>
      </c>
      <c r="T505" t="s">
        <v>2045</v>
      </c>
    </row>
    <row r="506" spans="1:20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7"/>
        <v>92</v>
      </c>
      <c r="G506" t="s">
        <v>14</v>
      </c>
      <c r="H506">
        <v>62</v>
      </c>
      <c r="I506" s="6"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5">
        <v>42142.208333333336</v>
      </c>
      <c r="O506" s="5">
        <v>42143.208333333336</v>
      </c>
      <c r="P506" t="b">
        <v>0</v>
      </c>
      <c r="Q506" t="b">
        <v>0</v>
      </c>
      <c r="R506" t="s">
        <v>23</v>
      </c>
      <c r="S506" t="s">
        <v>2036</v>
      </c>
      <c r="T506" t="s">
        <v>2037</v>
      </c>
    </row>
    <row r="507" spans="1:20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7"/>
        <v>14</v>
      </c>
      <c r="G507" t="s">
        <v>14</v>
      </c>
      <c r="H507">
        <v>347</v>
      </c>
      <c r="I507" s="6"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5">
        <v>41341.25</v>
      </c>
      <c r="O507" s="5">
        <v>41383.208333333336</v>
      </c>
      <c r="P507" t="b">
        <v>0</v>
      </c>
      <c r="Q507" t="b">
        <v>1</v>
      </c>
      <c r="R507" t="s">
        <v>133</v>
      </c>
      <c r="S507" t="s">
        <v>2048</v>
      </c>
      <c r="T507" t="s">
        <v>2057</v>
      </c>
    </row>
    <row r="508" spans="1:20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7"/>
        <v>927</v>
      </c>
      <c r="G508" t="s">
        <v>20</v>
      </c>
      <c r="H508">
        <v>2528</v>
      </c>
      <c r="I508" s="6"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5">
        <v>43062.25</v>
      </c>
      <c r="O508" s="5">
        <v>43079.25</v>
      </c>
      <c r="P508" t="b">
        <v>0</v>
      </c>
      <c r="Q508" t="b">
        <v>1</v>
      </c>
      <c r="R508" t="s">
        <v>33</v>
      </c>
      <c r="S508" t="s">
        <v>2040</v>
      </c>
      <c r="T508" t="s">
        <v>2041</v>
      </c>
    </row>
    <row r="509" spans="1:20" ht="31.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7"/>
        <v>40</v>
      </c>
      <c r="G509" t="s">
        <v>14</v>
      </c>
      <c r="H509">
        <v>19</v>
      </c>
      <c r="I509" s="6"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5">
        <v>41373.208333333336</v>
      </c>
      <c r="O509" s="5">
        <v>41422.208333333336</v>
      </c>
      <c r="P509" t="b">
        <v>0</v>
      </c>
      <c r="Q509" t="b">
        <v>1</v>
      </c>
      <c r="R509" t="s">
        <v>28</v>
      </c>
      <c r="S509" t="s">
        <v>2038</v>
      </c>
      <c r="T509" t="s">
        <v>2039</v>
      </c>
    </row>
    <row r="510" spans="1:20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7"/>
        <v>112</v>
      </c>
      <c r="G510" t="s">
        <v>20</v>
      </c>
      <c r="H510">
        <v>3657</v>
      </c>
      <c r="I510" s="6"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5">
        <v>43310.208333333336</v>
      </c>
      <c r="O510" s="5">
        <v>43331.208333333336</v>
      </c>
      <c r="P510" t="b">
        <v>0</v>
      </c>
      <c r="Q510" t="b">
        <v>0</v>
      </c>
      <c r="R510" t="s">
        <v>33</v>
      </c>
      <c r="S510" t="s">
        <v>2040</v>
      </c>
      <c r="T510" t="s">
        <v>2041</v>
      </c>
    </row>
    <row r="511" spans="1:20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7"/>
        <v>71</v>
      </c>
      <c r="G511" t="s">
        <v>14</v>
      </c>
      <c r="H511">
        <v>1258</v>
      </c>
      <c r="I511" s="6">
        <v>95</v>
      </c>
      <c r="J511" t="s">
        <v>21</v>
      </c>
      <c r="K511" t="s">
        <v>22</v>
      </c>
      <c r="L511">
        <v>1336194000</v>
      </c>
      <c r="M511">
        <v>1337058000</v>
      </c>
      <c r="N511" s="5">
        <v>41034.208333333336</v>
      </c>
      <c r="O511" s="5">
        <v>41044.208333333336</v>
      </c>
      <c r="P511" t="b">
        <v>0</v>
      </c>
      <c r="Q511" t="b">
        <v>0</v>
      </c>
      <c r="R511" t="s">
        <v>33</v>
      </c>
      <c r="S511" t="s">
        <v>2040</v>
      </c>
      <c r="T511" t="s">
        <v>2041</v>
      </c>
    </row>
    <row r="512" spans="1:20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7"/>
        <v>119</v>
      </c>
      <c r="G512" t="s">
        <v>20</v>
      </c>
      <c r="H512">
        <v>131</v>
      </c>
      <c r="I512" s="6"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5">
        <v>43251.208333333336</v>
      </c>
      <c r="O512" s="5">
        <v>43275.208333333336</v>
      </c>
      <c r="P512" t="b">
        <v>0</v>
      </c>
      <c r="Q512" t="b">
        <v>0</v>
      </c>
      <c r="R512" t="s">
        <v>53</v>
      </c>
      <c r="S512" t="s">
        <v>2042</v>
      </c>
      <c r="T512" t="s">
        <v>2045</v>
      </c>
    </row>
    <row r="513" spans="1:20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7"/>
        <v>24</v>
      </c>
      <c r="G513" t="s">
        <v>14</v>
      </c>
      <c r="H513">
        <v>362</v>
      </c>
      <c r="I513" s="6"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5">
        <v>43671.208333333336</v>
      </c>
      <c r="O513" s="5">
        <v>43681.208333333336</v>
      </c>
      <c r="P513" t="b">
        <v>0</v>
      </c>
      <c r="Q513" t="b">
        <v>0</v>
      </c>
      <c r="R513" t="s">
        <v>33</v>
      </c>
      <c r="S513" t="s">
        <v>2040</v>
      </c>
      <c r="T513" t="s">
        <v>2041</v>
      </c>
    </row>
    <row r="514" spans="1:20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7"/>
        <v>139</v>
      </c>
      <c r="G514" t="s">
        <v>20</v>
      </c>
      <c r="H514">
        <v>239</v>
      </c>
      <c r="I514" s="6"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5">
        <v>41825.208333333336</v>
      </c>
      <c r="O514" s="5">
        <v>41826.208333333336</v>
      </c>
      <c r="P514" t="b">
        <v>0</v>
      </c>
      <c r="Q514" t="b">
        <v>1</v>
      </c>
      <c r="R514" t="s">
        <v>89</v>
      </c>
      <c r="S514" t="s">
        <v>2051</v>
      </c>
      <c r="T514" t="s">
        <v>2052</v>
      </c>
    </row>
    <row r="515" spans="1:20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si="7"/>
        <v>39</v>
      </c>
      <c r="G515" t="s">
        <v>74</v>
      </c>
      <c r="H515">
        <v>35</v>
      </c>
      <c r="I515" s="6"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5">
        <v>40430.208333333336</v>
      </c>
      <c r="O515" s="5">
        <v>40432.208333333336</v>
      </c>
      <c r="P515" t="b">
        <v>0</v>
      </c>
      <c r="Q515" t="b">
        <v>0</v>
      </c>
      <c r="R515" t="s">
        <v>269</v>
      </c>
      <c r="S515" t="s">
        <v>2042</v>
      </c>
      <c r="T515" t="s">
        <v>2061</v>
      </c>
    </row>
    <row r="516" spans="1:20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ref="F516:F579" si="8">ROUND(E516/D516*100,0)</f>
        <v>22</v>
      </c>
      <c r="G516" t="s">
        <v>74</v>
      </c>
      <c r="H516">
        <v>528</v>
      </c>
      <c r="I516" s="6"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5">
        <v>41614.25</v>
      </c>
      <c r="O516" s="5">
        <v>41619.25</v>
      </c>
      <c r="P516" t="b">
        <v>0</v>
      </c>
      <c r="Q516" t="b">
        <v>1</v>
      </c>
      <c r="R516" t="s">
        <v>23</v>
      </c>
      <c r="S516" t="s">
        <v>2036</v>
      </c>
      <c r="T516" t="s">
        <v>2037</v>
      </c>
    </row>
    <row r="517" spans="1:20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8"/>
        <v>56</v>
      </c>
      <c r="G517" t="s">
        <v>14</v>
      </c>
      <c r="H517">
        <v>133</v>
      </c>
      <c r="I517" s="6"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5">
        <v>40900.25</v>
      </c>
      <c r="O517" s="5">
        <v>40902.25</v>
      </c>
      <c r="P517" t="b">
        <v>0</v>
      </c>
      <c r="Q517" t="b">
        <v>1</v>
      </c>
      <c r="R517" t="s">
        <v>33</v>
      </c>
      <c r="S517" t="s">
        <v>2040</v>
      </c>
      <c r="T517" t="s">
        <v>2041</v>
      </c>
    </row>
    <row r="518" spans="1:20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8"/>
        <v>43</v>
      </c>
      <c r="G518" t="s">
        <v>14</v>
      </c>
      <c r="H518">
        <v>846</v>
      </c>
      <c r="I518" s="6"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5">
        <v>40396.208333333336</v>
      </c>
      <c r="O518" s="5">
        <v>40434.208333333336</v>
      </c>
      <c r="P518" t="b">
        <v>0</v>
      </c>
      <c r="Q518" t="b">
        <v>0</v>
      </c>
      <c r="R518" t="s">
        <v>68</v>
      </c>
      <c r="S518" t="s">
        <v>2048</v>
      </c>
      <c r="T518" t="s">
        <v>2049</v>
      </c>
    </row>
    <row r="519" spans="1:20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8"/>
        <v>112</v>
      </c>
      <c r="G519" t="s">
        <v>20</v>
      </c>
      <c r="H519">
        <v>78</v>
      </c>
      <c r="I519" s="6"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5">
        <v>42860.208333333336</v>
      </c>
      <c r="O519" s="5">
        <v>42865.208333333336</v>
      </c>
      <c r="P519" t="b">
        <v>0</v>
      </c>
      <c r="Q519" t="b">
        <v>0</v>
      </c>
      <c r="R519" t="s">
        <v>17</v>
      </c>
      <c r="S519" t="s">
        <v>2034</v>
      </c>
      <c r="T519" t="s">
        <v>2035</v>
      </c>
    </row>
    <row r="520" spans="1:20" ht="31.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8"/>
        <v>7</v>
      </c>
      <c r="G520" t="s">
        <v>14</v>
      </c>
      <c r="H520">
        <v>10</v>
      </c>
      <c r="I520" s="6">
        <v>62.2</v>
      </c>
      <c r="J520" t="s">
        <v>21</v>
      </c>
      <c r="K520" t="s">
        <v>22</v>
      </c>
      <c r="L520">
        <v>1519365600</v>
      </c>
      <c r="M520">
        <v>1519538400</v>
      </c>
      <c r="N520" s="5">
        <v>43154.25</v>
      </c>
      <c r="O520" s="5">
        <v>43156.25</v>
      </c>
      <c r="P520" t="b">
        <v>0</v>
      </c>
      <c r="Q520" t="b">
        <v>1</v>
      </c>
      <c r="R520" t="s">
        <v>71</v>
      </c>
      <c r="S520" t="s">
        <v>2042</v>
      </c>
      <c r="T520" t="s">
        <v>2050</v>
      </c>
    </row>
    <row r="521" spans="1:20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8"/>
        <v>102</v>
      </c>
      <c r="G521" t="s">
        <v>20</v>
      </c>
      <c r="H521">
        <v>1773</v>
      </c>
      <c r="I521" s="6"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5">
        <v>42012.25</v>
      </c>
      <c r="O521" s="5">
        <v>42026.25</v>
      </c>
      <c r="P521" t="b">
        <v>0</v>
      </c>
      <c r="Q521" t="b">
        <v>1</v>
      </c>
      <c r="R521" t="s">
        <v>23</v>
      </c>
      <c r="S521" t="s">
        <v>2036</v>
      </c>
      <c r="T521" t="s">
        <v>2037</v>
      </c>
    </row>
    <row r="522" spans="1:20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8"/>
        <v>426</v>
      </c>
      <c r="G522" t="s">
        <v>20</v>
      </c>
      <c r="H522">
        <v>32</v>
      </c>
      <c r="I522" s="6">
        <v>106.4375</v>
      </c>
      <c r="J522" t="s">
        <v>21</v>
      </c>
      <c r="K522" t="s">
        <v>22</v>
      </c>
      <c r="L522">
        <v>1555650000</v>
      </c>
      <c r="M522">
        <v>1555909200</v>
      </c>
      <c r="N522" s="5">
        <v>43574.208333333336</v>
      </c>
      <c r="O522" s="5">
        <v>43577.208333333336</v>
      </c>
      <c r="P522" t="b">
        <v>0</v>
      </c>
      <c r="Q522" t="b">
        <v>0</v>
      </c>
      <c r="R522" t="s">
        <v>33</v>
      </c>
      <c r="S522" t="s">
        <v>2040</v>
      </c>
      <c r="T522" t="s">
        <v>2041</v>
      </c>
    </row>
    <row r="523" spans="1:20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8"/>
        <v>146</v>
      </c>
      <c r="G523" t="s">
        <v>20</v>
      </c>
      <c r="H523">
        <v>369</v>
      </c>
      <c r="I523" s="6"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5">
        <v>42605.208333333336</v>
      </c>
      <c r="O523" s="5">
        <v>42611.208333333336</v>
      </c>
      <c r="P523" t="b">
        <v>0</v>
      </c>
      <c r="Q523" t="b">
        <v>1</v>
      </c>
      <c r="R523" t="s">
        <v>53</v>
      </c>
      <c r="S523" t="s">
        <v>2042</v>
      </c>
      <c r="T523" t="s">
        <v>2045</v>
      </c>
    </row>
    <row r="524" spans="1:20" ht="31.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8"/>
        <v>32</v>
      </c>
      <c r="G524" t="s">
        <v>14</v>
      </c>
      <c r="H524">
        <v>191</v>
      </c>
      <c r="I524" s="6"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5">
        <v>41093.208333333336</v>
      </c>
      <c r="O524" s="5">
        <v>41105.208333333336</v>
      </c>
      <c r="P524" t="b">
        <v>0</v>
      </c>
      <c r="Q524" t="b">
        <v>0</v>
      </c>
      <c r="R524" t="s">
        <v>100</v>
      </c>
      <c r="S524" t="s">
        <v>2042</v>
      </c>
      <c r="T524" t="s">
        <v>2053</v>
      </c>
    </row>
    <row r="525" spans="1:20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8"/>
        <v>700</v>
      </c>
      <c r="G525" t="s">
        <v>20</v>
      </c>
      <c r="H525">
        <v>89</v>
      </c>
      <c r="I525" s="6"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5">
        <v>40241.25</v>
      </c>
      <c r="O525" s="5">
        <v>40246.25</v>
      </c>
      <c r="P525" t="b">
        <v>0</v>
      </c>
      <c r="Q525" t="b">
        <v>0</v>
      </c>
      <c r="R525" t="s">
        <v>100</v>
      </c>
      <c r="S525" t="s">
        <v>2042</v>
      </c>
      <c r="T525" t="s">
        <v>2053</v>
      </c>
    </row>
    <row r="526" spans="1:20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8"/>
        <v>84</v>
      </c>
      <c r="G526" t="s">
        <v>14</v>
      </c>
      <c r="H526">
        <v>1979</v>
      </c>
      <c r="I526" s="6"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5">
        <v>40294.208333333336</v>
      </c>
      <c r="O526" s="5">
        <v>40307.208333333336</v>
      </c>
      <c r="P526" t="b">
        <v>0</v>
      </c>
      <c r="Q526" t="b">
        <v>0</v>
      </c>
      <c r="R526" t="s">
        <v>33</v>
      </c>
      <c r="S526" t="s">
        <v>2040</v>
      </c>
      <c r="T526" t="s">
        <v>2041</v>
      </c>
    </row>
    <row r="527" spans="1:20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8"/>
        <v>84</v>
      </c>
      <c r="G527" t="s">
        <v>14</v>
      </c>
      <c r="H527">
        <v>63</v>
      </c>
      <c r="I527" s="6"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5">
        <v>40505.25</v>
      </c>
      <c r="O527" s="5">
        <v>40509.25</v>
      </c>
      <c r="P527" t="b">
        <v>0</v>
      </c>
      <c r="Q527" t="b">
        <v>0</v>
      </c>
      <c r="R527" t="s">
        <v>65</v>
      </c>
      <c r="S527" t="s">
        <v>2038</v>
      </c>
      <c r="T527" t="s">
        <v>2047</v>
      </c>
    </row>
    <row r="528" spans="1:20" ht="31.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8"/>
        <v>156</v>
      </c>
      <c r="G528" t="s">
        <v>20</v>
      </c>
      <c r="H528">
        <v>147</v>
      </c>
      <c r="I528" s="6"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5">
        <v>42364.25</v>
      </c>
      <c r="O528" s="5">
        <v>42401.25</v>
      </c>
      <c r="P528" t="b">
        <v>0</v>
      </c>
      <c r="Q528" t="b">
        <v>1</v>
      </c>
      <c r="R528" t="s">
        <v>33</v>
      </c>
      <c r="S528" t="s">
        <v>2040</v>
      </c>
      <c r="T528" t="s">
        <v>2041</v>
      </c>
    </row>
    <row r="529" spans="1:20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8"/>
        <v>100</v>
      </c>
      <c r="G529" t="s">
        <v>14</v>
      </c>
      <c r="H529">
        <v>6080</v>
      </c>
      <c r="I529" s="6">
        <v>31</v>
      </c>
      <c r="J529" t="s">
        <v>15</v>
      </c>
      <c r="K529" t="s">
        <v>16</v>
      </c>
      <c r="L529">
        <v>1454652000</v>
      </c>
      <c r="M529">
        <v>1457762400</v>
      </c>
      <c r="N529" s="5">
        <v>42405.25</v>
      </c>
      <c r="O529" s="5">
        <v>42441.25</v>
      </c>
      <c r="P529" t="b">
        <v>0</v>
      </c>
      <c r="Q529" t="b">
        <v>0</v>
      </c>
      <c r="R529" t="s">
        <v>71</v>
      </c>
      <c r="S529" t="s">
        <v>2042</v>
      </c>
      <c r="T529" t="s">
        <v>2050</v>
      </c>
    </row>
    <row r="530" spans="1:20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8"/>
        <v>80</v>
      </c>
      <c r="G530" t="s">
        <v>14</v>
      </c>
      <c r="H530">
        <v>80</v>
      </c>
      <c r="I530" s="6"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5">
        <v>41601.25</v>
      </c>
      <c r="O530" s="5">
        <v>41646.25</v>
      </c>
      <c r="P530" t="b">
        <v>0</v>
      </c>
      <c r="Q530" t="b">
        <v>0</v>
      </c>
      <c r="R530" t="s">
        <v>60</v>
      </c>
      <c r="S530" t="s">
        <v>2036</v>
      </c>
      <c r="T530" t="s">
        <v>2046</v>
      </c>
    </row>
    <row r="531" spans="1:20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8"/>
        <v>11</v>
      </c>
      <c r="G531" t="s">
        <v>14</v>
      </c>
      <c r="H531">
        <v>9</v>
      </c>
      <c r="I531" s="6"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5">
        <v>41769.208333333336</v>
      </c>
      <c r="O531" s="5">
        <v>41797.208333333336</v>
      </c>
      <c r="P531" t="b">
        <v>0</v>
      </c>
      <c r="Q531" t="b">
        <v>0</v>
      </c>
      <c r="R531" t="s">
        <v>89</v>
      </c>
      <c r="S531" t="s">
        <v>2051</v>
      </c>
      <c r="T531" t="s">
        <v>2052</v>
      </c>
    </row>
    <row r="532" spans="1:20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8"/>
        <v>92</v>
      </c>
      <c r="G532" t="s">
        <v>14</v>
      </c>
      <c r="H532">
        <v>1784</v>
      </c>
      <c r="I532" s="6"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5">
        <v>40421.208333333336</v>
      </c>
      <c r="O532" s="5">
        <v>40435.208333333336</v>
      </c>
      <c r="P532" t="b">
        <v>0</v>
      </c>
      <c r="Q532" t="b">
        <v>1</v>
      </c>
      <c r="R532" t="s">
        <v>119</v>
      </c>
      <c r="S532" t="s">
        <v>2048</v>
      </c>
      <c r="T532" t="s">
        <v>2054</v>
      </c>
    </row>
    <row r="533" spans="1:20" ht="31.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8"/>
        <v>96</v>
      </c>
      <c r="G533" t="s">
        <v>47</v>
      </c>
      <c r="H533">
        <v>3640</v>
      </c>
      <c r="I533" s="6"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5">
        <v>41589.25</v>
      </c>
      <c r="O533" s="5">
        <v>41645.25</v>
      </c>
      <c r="P533" t="b">
        <v>0</v>
      </c>
      <c r="Q533" t="b">
        <v>0</v>
      </c>
      <c r="R533" t="s">
        <v>89</v>
      </c>
      <c r="S533" t="s">
        <v>2051</v>
      </c>
      <c r="T533" t="s">
        <v>2052</v>
      </c>
    </row>
    <row r="534" spans="1:20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8"/>
        <v>503</v>
      </c>
      <c r="G534" t="s">
        <v>20</v>
      </c>
      <c r="H534">
        <v>126</v>
      </c>
      <c r="I534" s="6"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5">
        <v>43125.25</v>
      </c>
      <c r="O534" s="5">
        <v>43126.25</v>
      </c>
      <c r="P534" t="b">
        <v>0</v>
      </c>
      <c r="Q534" t="b">
        <v>0</v>
      </c>
      <c r="R534" t="s">
        <v>33</v>
      </c>
      <c r="S534" t="s">
        <v>2040</v>
      </c>
      <c r="T534" t="s">
        <v>2041</v>
      </c>
    </row>
    <row r="535" spans="1:20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8"/>
        <v>159</v>
      </c>
      <c r="G535" t="s">
        <v>20</v>
      </c>
      <c r="H535">
        <v>2218</v>
      </c>
      <c r="I535" s="6"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5">
        <v>41479.208333333336</v>
      </c>
      <c r="O535" s="5">
        <v>41515.208333333336</v>
      </c>
      <c r="P535" t="b">
        <v>0</v>
      </c>
      <c r="Q535" t="b">
        <v>0</v>
      </c>
      <c r="R535" t="s">
        <v>60</v>
      </c>
      <c r="S535" t="s">
        <v>2036</v>
      </c>
      <c r="T535" t="s">
        <v>2046</v>
      </c>
    </row>
    <row r="536" spans="1:20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8"/>
        <v>15</v>
      </c>
      <c r="G536" t="s">
        <v>14</v>
      </c>
      <c r="H536">
        <v>243</v>
      </c>
      <c r="I536" s="6"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5">
        <v>43329.208333333336</v>
      </c>
      <c r="O536" s="5">
        <v>43330.208333333336</v>
      </c>
      <c r="P536" t="b">
        <v>0</v>
      </c>
      <c r="Q536" t="b">
        <v>1</v>
      </c>
      <c r="R536" t="s">
        <v>53</v>
      </c>
      <c r="S536" t="s">
        <v>2042</v>
      </c>
      <c r="T536" t="s">
        <v>2045</v>
      </c>
    </row>
    <row r="537" spans="1:20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8"/>
        <v>482</v>
      </c>
      <c r="G537" t="s">
        <v>20</v>
      </c>
      <c r="H537">
        <v>202</v>
      </c>
      <c r="I537" s="6"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5">
        <v>43259.208333333336</v>
      </c>
      <c r="O537" s="5">
        <v>43261.208333333336</v>
      </c>
      <c r="P537" t="b">
        <v>0</v>
      </c>
      <c r="Q537" t="b">
        <v>1</v>
      </c>
      <c r="R537" t="s">
        <v>33</v>
      </c>
      <c r="S537" t="s">
        <v>2040</v>
      </c>
      <c r="T537" t="s">
        <v>2041</v>
      </c>
    </row>
    <row r="538" spans="1:20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8"/>
        <v>150</v>
      </c>
      <c r="G538" t="s">
        <v>20</v>
      </c>
      <c r="H538">
        <v>140</v>
      </c>
      <c r="I538" s="6"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5">
        <v>40414.208333333336</v>
      </c>
      <c r="O538" s="5">
        <v>40440.208333333336</v>
      </c>
      <c r="P538" t="b">
        <v>0</v>
      </c>
      <c r="Q538" t="b">
        <v>0</v>
      </c>
      <c r="R538" t="s">
        <v>119</v>
      </c>
      <c r="S538" t="s">
        <v>2048</v>
      </c>
      <c r="T538" t="s">
        <v>2054</v>
      </c>
    </row>
    <row r="539" spans="1:20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8"/>
        <v>117</v>
      </c>
      <c r="G539" t="s">
        <v>20</v>
      </c>
      <c r="H539">
        <v>1052</v>
      </c>
      <c r="I539" s="6"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5">
        <v>43342.208333333336</v>
      </c>
      <c r="O539" s="5">
        <v>43365.208333333336</v>
      </c>
      <c r="P539" t="b">
        <v>1</v>
      </c>
      <c r="Q539" t="b">
        <v>1</v>
      </c>
      <c r="R539" t="s">
        <v>42</v>
      </c>
      <c r="S539" t="s">
        <v>2042</v>
      </c>
      <c r="T539" t="s">
        <v>2043</v>
      </c>
    </row>
    <row r="540" spans="1:20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8"/>
        <v>38</v>
      </c>
      <c r="G540" t="s">
        <v>14</v>
      </c>
      <c r="H540">
        <v>1296</v>
      </c>
      <c r="I540" s="6"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5">
        <v>41539.208333333336</v>
      </c>
      <c r="O540" s="5">
        <v>41555.208333333336</v>
      </c>
      <c r="P540" t="b">
        <v>0</v>
      </c>
      <c r="Q540" t="b">
        <v>0</v>
      </c>
      <c r="R540" t="s">
        <v>292</v>
      </c>
      <c r="S540" t="s">
        <v>2051</v>
      </c>
      <c r="T540" t="s">
        <v>2062</v>
      </c>
    </row>
    <row r="541" spans="1:20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8"/>
        <v>73</v>
      </c>
      <c r="G541" t="s">
        <v>14</v>
      </c>
      <c r="H541">
        <v>77</v>
      </c>
      <c r="I541" s="6"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5">
        <v>43647.208333333336</v>
      </c>
      <c r="O541" s="5">
        <v>43653.208333333336</v>
      </c>
      <c r="P541" t="b">
        <v>0</v>
      </c>
      <c r="Q541" t="b">
        <v>1</v>
      </c>
      <c r="R541" t="s">
        <v>17</v>
      </c>
      <c r="S541" t="s">
        <v>2034</v>
      </c>
      <c r="T541" t="s">
        <v>2035</v>
      </c>
    </row>
    <row r="542" spans="1:20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8"/>
        <v>266</v>
      </c>
      <c r="G542" t="s">
        <v>20</v>
      </c>
      <c r="H542">
        <v>247</v>
      </c>
      <c r="I542" s="6"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5">
        <v>43225.208333333336</v>
      </c>
      <c r="O542" s="5">
        <v>43247.208333333336</v>
      </c>
      <c r="P542" t="b">
        <v>0</v>
      </c>
      <c r="Q542" t="b">
        <v>0</v>
      </c>
      <c r="R542" t="s">
        <v>122</v>
      </c>
      <c r="S542" t="s">
        <v>2055</v>
      </c>
      <c r="T542" t="s">
        <v>2056</v>
      </c>
    </row>
    <row r="543" spans="1:20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8"/>
        <v>24</v>
      </c>
      <c r="G543" t="s">
        <v>14</v>
      </c>
      <c r="H543">
        <v>395</v>
      </c>
      <c r="I543" s="6"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5">
        <v>42165.208333333336</v>
      </c>
      <c r="O543" s="5">
        <v>42191.208333333336</v>
      </c>
      <c r="P543" t="b">
        <v>0</v>
      </c>
      <c r="Q543" t="b">
        <v>0</v>
      </c>
      <c r="R543" t="s">
        <v>292</v>
      </c>
      <c r="S543" t="s">
        <v>2051</v>
      </c>
      <c r="T543" t="s">
        <v>2062</v>
      </c>
    </row>
    <row r="544" spans="1:20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8"/>
        <v>3</v>
      </c>
      <c r="G544" t="s">
        <v>14</v>
      </c>
      <c r="H544">
        <v>49</v>
      </c>
      <c r="I544" s="6"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5">
        <v>42391.25</v>
      </c>
      <c r="O544" s="5">
        <v>42421.25</v>
      </c>
      <c r="P544" t="b">
        <v>0</v>
      </c>
      <c r="Q544" t="b">
        <v>0</v>
      </c>
      <c r="R544" t="s">
        <v>60</v>
      </c>
      <c r="S544" t="s">
        <v>2036</v>
      </c>
      <c r="T544" t="s">
        <v>2046</v>
      </c>
    </row>
    <row r="545" spans="1:20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8"/>
        <v>16</v>
      </c>
      <c r="G545" t="s">
        <v>14</v>
      </c>
      <c r="H545">
        <v>180</v>
      </c>
      <c r="I545" s="6"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5">
        <v>41528.208333333336</v>
      </c>
      <c r="O545" s="5">
        <v>41543.208333333336</v>
      </c>
      <c r="P545" t="b">
        <v>0</v>
      </c>
      <c r="Q545" t="b">
        <v>0</v>
      </c>
      <c r="R545" t="s">
        <v>89</v>
      </c>
      <c r="S545" t="s">
        <v>2051</v>
      </c>
      <c r="T545" t="s">
        <v>2052</v>
      </c>
    </row>
    <row r="546" spans="1:20" ht="31.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8"/>
        <v>277</v>
      </c>
      <c r="G546" t="s">
        <v>20</v>
      </c>
      <c r="H546">
        <v>84</v>
      </c>
      <c r="I546" s="6"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5">
        <v>42377.25</v>
      </c>
      <c r="O546" s="5">
        <v>42390.25</v>
      </c>
      <c r="P546" t="b">
        <v>0</v>
      </c>
      <c r="Q546" t="b">
        <v>0</v>
      </c>
      <c r="R546" t="s">
        <v>23</v>
      </c>
      <c r="S546" t="s">
        <v>2036</v>
      </c>
      <c r="T546" t="s">
        <v>2037</v>
      </c>
    </row>
    <row r="547" spans="1:20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8"/>
        <v>89</v>
      </c>
      <c r="G547" t="s">
        <v>14</v>
      </c>
      <c r="H547">
        <v>2690</v>
      </c>
      <c r="I547" s="6"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5">
        <v>43824.25</v>
      </c>
      <c r="O547" s="5">
        <v>43844.25</v>
      </c>
      <c r="P547" t="b">
        <v>0</v>
      </c>
      <c r="Q547" t="b">
        <v>0</v>
      </c>
      <c r="R547" t="s">
        <v>33</v>
      </c>
      <c r="S547" t="s">
        <v>2040</v>
      </c>
      <c r="T547" t="s">
        <v>2041</v>
      </c>
    </row>
    <row r="548" spans="1:20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8"/>
        <v>164</v>
      </c>
      <c r="G548" t="s">
        <v>20</v>
      </c>
      <c r="H548">
        <v>88</v>
      </c>
      <c r="I548" s="6"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5">
        <v>43360.208333333336</v>
      </c>
      <c r="O548" s="5">
        <v>43363.208333333336</v>
      </c>
      <c r="P548" t="b">
        <v>0</v>
      </c>
      <c r="Q548" t="b">
        <v>1</v>
      </c>
      <c r="R548" t="s">
        <v>33</v>
      </c>
      <c r="S548" t="s">
        <v>2040</v>
      </c>
      <c r="T548" t="s">
        <v>2041</v>
      </c>
    </row>
    <row r="549" spans="1:20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8"/>
        <v>969</v>
      </c>
      <c r="G549" t="s">
        <v>20</v>
      </c>
      <c r="H549">
        <v>156</v>
      </c>
      <c r="I549" s="6">
        <v>80.75</v>
      </c>
      <c r="J549" t="s">
        <v>21</v>
      </c>
      <c r="K549" t="s">
        <v>22</v>
      </c>
      <c r="L549">
        <v>1422165600</v>
      </c>
      <c r="M549">
        <v>1423202400</v>
      </c>
      <c r="N549" s="5">
        <v>42029.25</v>
      </c>
      <c r="O549" s="5">
        <v>42041.25</v>
      </c>
      <c r="P549" t="b">
        <v>0</v>
      </c>
      <c r="Q549" t="b">
        <v>0</v>
      </c>
      <c r="R549" t="s">
        <v>53</v>
      </c>
      <c r="S549" t="s">
        <v>2042</v>
      </c>
      <c r="T549" t="s">
        <v>2045</v>
      </c>
    </row>
    <row r="550" spans="1:20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8"/>
        <v>271</v>
      </c>
      <c r="G550" t="s">
        <v>20</v>
      </c>
      <c r="H550">
        <v>2985</v>
      </c>
      <c r="I550" s="6"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5">
        <v>42461.208333333336</v>
      </c>
      <c r="O550" s="5">
        <v>42474.208333333336</v>
      </c>
      <c r="P550" t="b">
        <v>0</v>
      </c>
      <c r="Q550" t="b">
        <v>0</v>
      </c>
      <c r="R550" t="s">
        <v>33</v>
      </c>
      <c r="S550" t="s">
        <v>2040</v>
      </c>
      <c r="T550" t="s">
        <v>2041</v>
      </c>
    </row>
    <row r="551" spans="1:20" ht="31.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8"/>
        <v>284</v>
      </c>
      <c r="G551" t="s">
        <v>20</v>
      </c>
      <c r="H551">
        <v>762</v>
      </c>
      <c r="I551" s="6"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5">
        <v>41422.208333333336</v>
      </c>
      <c r="O551" s="5">
        <v>41431.208333333336</v>
      </c>
      <c r="P551" t="b">
        <v>0</v>
      </c>
      <c r="Q551" t="b">
        <v>0</v>
      </c>
      <c r="R551" t="s">
        <v>65</v>
      </c>
      <c r="S551" t="s">
        <v>2038</v>
      </c>
      <c r="T551" t="s">
        <v>2047</v>
      </c>
    </row>
    <row r="552" spans="1:20" ht="31.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8"/>
        <v>4</v>
      </c>
      <c r="G552" t="s">
        <v>74</v>
      </c>
      <c r="H552">
        <v>1</v>
      </c>
      <c r="I552" s="6">
        <v>4</v>
      </c>
      <c r="J552" t="s">
        <v>98</v>
      </c>
      <c r="K552" t="s">
        <v>99</v>
      </c>
      <c r="L552">
        <v>1330495200</v>
      </c>
      <c r="M552">
        <v>1332306000</v>
      </c>
      <c r="N552" s="5">
        <v>40968.25</v>
      </c>
      <c r="O552" s="5">
        <v>40989.208333333336</v>
      </c>
      <c r="P552" t="b">
        <v>0</v>
      </c>
      <c r="Q552" t="b">
        <v>0</v>
      </c>
      <c r="R552" t="s">
        <v>60</v>
      </c>
      <c r="S552" t="s">
        <v>2036</v>
      </c>
      <c r="T552" t="s">
        <v>2046</v>
      </c>
    </row>
    <row r="553" spans="1:20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8"/>
        <v>59</v>
      </c>
      <c r="G553" t="s">
        <v>14</v>
      </c>
      <c r="H553">
        <v>2779</v>
      </c>
      <c r="I553" s="6"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5">
        <v>41993.25</v>
      </c>
      <c r="O553" s="5">
        <v>42033.25</v>
      </c>
      <c r="P553" t="b">
        <v>0</v>
      </c>
      <c r="Q553" t="b">
        <v>1</v>
      </c>
      <c r="R553" t="s">
        <v>28</v>
      </c>
      <c r="S553" t="s">
        <v>2038</v>
      </c>
      <c r="T553" t="s">
        <v>2039</v>
      </c>
    </row>
    <row r="554" spans="1:20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8"/>
        <v>99</v>
      </c>
      <c r="G554" t="s">
        <v>14</v>
      </c>
      <c r="H554">
        <v>92</v>
      </c>
      <c r="I554" s="6"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5">
        <v>42700.25</v>
      </c>
      <c r="O554" s="5">
        <v>42702.25</v>
      </c>
      <c r="P554" t="b">
        <v>0</v>
      </c>
      <c r="Q554" t="b">
        <v>0</v>
      </c>
      <c r="R554" t="s">
        <v>33</v>
      </c>
      <c r="S554" t="s">
        <v>2040</v>
      </c>
      <c r="T554" t="s">
        <v>2041</v>
      </c>
    </row>
    <row r="555" spans="1:20" ht="31.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8"/>
        <v>44</v>
      </c>
      <c r="G555" t="s">
        <v>14</v>
      </c>
      <c r="H555">
        <v>1028</v>
      </c>
      <c r="I555" s="6"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5">
        <v>40545.25</v>
      </c>
      <c r="O555" s="5">
        <v>40546.25</v>
      </c>
      <c r="P555" t="b">
        <v>0</v>
      </c>
      <c r="Q555" t="b">
        <v>0</v>
      </c>
      <c r="R555" t="s">
        <v>23</v>
      </c>
      <c r="S555" t="s">
        <v>2036</v>
      </c>
      <c r="T555" t="s">
        <v>2037</v>
      </c>
    </row>
    <row r="556" spans="1:20" ht="31.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8"/>
        <v>152</v>
      </c>
      <c r="G556" t="s">
        <v>20</v>
      </c>
      <c r="H556">
        <v>554</v>
      </c>
      <c r="I556" s="6"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5">
        <v>42723.25</v>
      </c>
      <c r="O556" s="5">
        <v>42729.25</v>
      </c>
      <c r="P556" t="b">
        <v>0</v>
      </c>
      <c r="Q556" t="b">
        <v>0</v>
      </c>
      <c r="R556" t="s">
        <v>60</v>
      </c>
      <c r="S556" t="s">
        <v>2036</v>
      </c>
      <c r="T556" t="s">
        <v>2046</v>
      </c>
    </row>
    <row r="557" spans="1:20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8"/>
        <v>224</v>
      </c>
      <c r="G557" t="s">
        <v>20</v>
      </c>
      <c r="H557">
        <v>135</v>
      </c>
      <c r="I557" s="6"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5">
        <v>41731.208333333336</v>
      </c>
      <c r="O557" s="5">
        <v>41762.208333333336</v>
      </c>
      <c r="P557" t="b">
        <v>0</v>
      </c>
      <c r="Q557" t="b">
        <v>0</v>
      </c>
      <c r="R557" t="s">
        <v>23</v>
      </c>
      <c r="S557" t="s">
        <v>2036</v>
      </c>
      <c r="T557" t="s">
        <v>2037</v>
      </c>
    </row>
    <row r="558" spans="1:20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8"/>
        <v>240</v>
      </c>
      <c r="G558" t="s">
        <v>20</v>
      </c>
      <c r="H558">
        <v>122</v>
      </c>
      <c r="I558" s="6"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5">
        <v>40792.208333333336</v>
      </c>
      <c r="O558" s="5">
        <v>40799.208333333336</v>
      </c>
      <c r="P558" t="b">
        <v>0</v>
      </c>
      <c r="Q558" t="b">
        <v>1</v>
      </c>
      <c r="R558" t="s">
        <v>206</v>
      </c>
      <c r="S558" t="s">
        <v>2048</v>
      </c>
      <c r="T558" t="s">
        <v>2060</v>
      </c>
    </row>
    <row r="559" spans="1:20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8"/>
        <v>199</v>
      </c>
      <c r="G559" t="s">
        <v>20</v>
      </c>
      <c r="H559">
        <v>221</v>
      </c>
      <c r="I559" s="6"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5">
        <v>42279.208333333336</v>
      </c>
      <c r="O559" s="5">
        <v>42282.208333333336</v>
      </c>
      <c r="P559" t="b">
        <v>0</v>
      </c>
      <c r="Q559" t="b">
        <v>1</v>
      </c>
      <c r="R559" t="s">
        <v>474</v>
      </c>
      <c r="S559" t="s">
        <v>2042</v>
      </c>
      <c r="T559" t="s">
        <v>2064</v>
      </c>
    </row>
    <row r="560" spans="1:20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8"/>
        <v>137</v>
      </c>
      <c r="G560" t="s">
        <v>20</v>
      </c>
      <c r="H560">
        <v>126</v>
      </c>
      <c r="I560" s="6"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5">
        <v>42424.25</v>
      </c>
      <c r="O560" s="5">
        <v>42467.208333333336</v>
      </c>
      <c r="P560" t="b">
        <v>0</v>
      </c>
      <c r="Q560" t="b">
        <v>0</v>
      </c>
      <c r="R560" t="s">
        <v>33</v>
      </c>
      <c r="S560" t="s">
        <v>2040</v>
      </c>
      <c r="T560" t="s">
        <v>2041</v>
      </c>
    </row>
    <row r="561" spans="1:20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8"/>
        <v>101</v>
      </c>
      <c r="G561" t="s">
        <v>20</v>
      </c>
      <c r="H561">
        <v>1022</v>
      </c>
      <c r="I561" s="6"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5">
        <v>42584.208333333336</v>
      </c>
      <c r="O561" s="5">
        <v>42591.208333333336</v>
      </c>
      <c r="P561" t="b">
        <v>0</v>
      </c>
      <c r="Q561" t="b">
        <v>0</v>
      </c>
      <c r="R561" t="s">
        <v>33</v>
      </c>
      <c r="S561" t="s">
        <v>2040</v>
      </c>
      <c r="T561" t="s">
        <v>2041</v>
      </c>
    </row>
    <row r="562" spans="1:20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8"/>
        <v>794</v>
      </c>
      <c r="G562" t="s">
        <v>20</v>
      </c>
      <c r="H562">
        <v>3177</v>
      </c>
      <c r="I562" s="6"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5">
        <v>40865.25</v>
      </c>
      <c r="O562" s="5">
        <v>40905.25</v>
      </c>
      <c r="P562" t="b">
        <v>0</v>
      </c>
      <c r="Q562" t="b">
        <v>0</v>
      </c>
      <c r="R562" t="s">
        <v>71</v>
      </c>
      <c r="S562" t="s">
        <v>2042</v>
      </c>
      <c r="T562" t="s">
        <v>2050</v>
      </c>
    </row>
    <row r="563" spans="1:20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8"/>
        <v>370</v>
      </c>
      <c r="G563" t="s">
        <v>20</v>
      </c>
      <c r="H563">
        <v>198</v>
      </c>
      <c r="I563" s="6"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5">
        <v>40833.208333333336</v>
      </c>
      <c r="O563" s="5">
        <v>40835.208333333336</v>
      </c>
      <c r="P563" t="b">
        <v>0</v>
      </c>
      <c r="Q563" t="b">
        <v>0</v>
      </c>
      <c r="R563" t="s">
        <v>33</v>
      </c>
      <c r="S563" t="s">
        <v>2040</v>
      </c>
      <c r="T563" t="s">
        <v>2041</v>
      </c>
    </row>
    <row r="564" spans="1:20" ht="31.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8"/>
        <v>13</v>
      </c>
      <c r="G564" t="s">
        <v>14</v>
      </c>
      <c r="H564">
        <v>26</v>
      </c>
      <c r="I564" s="6"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5">
        <v>43536.208333333336</v>
      </c>
      <c r="O564" s="5">
        <v>43538.208333333336</v>
      </c>
      <c r="P564" t="b">
        <v>0</v>
      </c>
      <c r="Q564" t="b">
        <v>0</v>
      </c>
      <c r="R564" t="s">
        <v>23</v>
      </c>
      <c r="S564" t="s">
        <v>2036</v>
      </c>
      <c r="T564" t="s">
        <v>2037</v>
      </c>
    </row>
    <row r="565" spans="1:20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8"/>
        <v>138</v>
      </c>
      <c r="G565" t="s">
        <v>20</v>
      </c>
      <c r="H565">
        <v>85</v>
      </c>
      <c r="I565" s="6"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5">
        <v>43417.25</v>
      </c>
      <c r="O565" s="5">
        <v>43437.25</v>
      </c>
      <c r="P565" t="b">
        <v>0</v>
      </c>
      <c r="Q565" t="b">
        <v>0</v>
      </c>
      <c r="R565" t="s">
        <v>42</v>
      </c>
      <c r="S565" t="s">
        <v>2042</v>
      </c>
      <c r="T565" t="s">
        <v>2043</v>
      </c>
    </row>
    <row r="566" spans="1:20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8"/>
        <v>84</v>
      </c>
      <c r="G566" t="s">
        <v>14</v>
      </c>
      <c r="H566">
        <v>1790</v>
      </c>
      <c r="I566" s="6"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5">
        <v>42078.208333333336</v>
      </c>
      <c r="O566" s="5">
        <v>42086.208333333336</v>
      </c>
      <c r="P566" t="b">
        <v>0</v>
      </c>
      <c r="Q566" t="b">
        <v>0</v>
      </c>
      <c r="R566" t="s">
        <v>33</v>
      </c>
      <c r="S566" t="s">
        <v>2040</v>
      </c>
      <c r="T566" t="s">
        <v>2041</v>
      </c>
    </row>
    <row r="567" spans="1:20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8"/>
        <v>205</v>
      </c>
      <c r="G567" t="s">
        <v>20</v>
      </c>
      <c r="H567">
        <v>3596</v>
      </c>
      <c r="I567" s="6"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5">
        <v>40862.25</v>
      </c>
      <c r="O567" s="5">
        <v>40882.25</v>
      </c>
      <c r="P567" t="b">
        <v>0</v>
      </c>
      <c r="Q567" t="b">
        <v>0</v>
      </c>
      <c r="R567" t="s">
        <v>33</v>
      </c>
      <c r="S567" t="s">
        <v>2040</v>
      </c>
      <c r="T567" t="s">
        <v>2041</v>
      </c>
    </row>
    <row r="568" spans="1:20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8"/>
        <v>44</v>
      </c>
      <c r="G568" t="s">
        <v>14</v>
      </c>
      <c r="H568">
        <v>37</v>
      </c>
      <c r="I568" s="6"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5">
        <v>42424.25</v>
      </c>
      <c r="O568" s="5">
        <v>42447.208333333336</v>
      </c>
      <c r="P568" t="b">
        <v>0</v>
      </c>
      <c r="Q568" t="b">
        <v>1</v>
      </c>
      <c r="R568" t="s">
        <v>50</v>
      </c>
      <c r="S568" t="s">
        <v>2036</v>
      </c>
      <c r="T568" t="s">
        <v>2044</v>
      </c>
    </row>
    <row r="569" spans="1:20" ht="31.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8"/>
        <v>219</v>
      </c>
      <c r="G569" t="s">
        <v>20</v>
      </c>
      <c r="H569">
        <v>244</v>
      </c>
      <c r="I569" s="6"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5">
        <v>41830.208333333336</v>
      </c>
      <c r="O569" s="5">
        <v>41832.208333333336</v>
      </c>
      <c r="P569" t="b">
        <v>0</v>
      </c>
      <c r="Q569" t="b">
        <v>0</v>
      </c>
      <c r="R569" t="s">
        <v>23</v>
      </c>
      <c r="S569" t="s">
        <v>2036</v>
      </c>
      <c r="T569" t="s">
        <v>2037</v>
      </c>
    </row>
    <row r="570" spans="1:20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8"/>
        <v>186</v>
      </c>
      <c r="G570" t="s">
        <v>20</v>
      </c>
      <c r="H570">
        <v>5180</v>
      </c>
      <c r="I570" s="6"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5">
        <v>40374.208333333336</v>
      </c>
      <c r="O570" s="5">
        <v>40419.208333333336</v>
      </c>
      <c r="P570" t="b">
        <v>0</v>
      </c>
      <c r="Q570" t="b">
        <v>0</v>
      </c>
      <c r="R570" t="s">
        <v>33</v>
      </c>
      <c r="S570" t="s">
        <v>2040</v>
      </c>
      <c r="T570" t="s">
        <v>2041</v>
      </c>
    </row>
    <row r="571" spans="1:20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8"/>
        <v>237</v>
      </c>
      <c r="G571" t="s">
        <v>20</v>
      </c>
      <c r="H571">
        <v>589</v>
      </c>
      <c r="I571" s="6"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5">
        <v>40554.25</v>
      </c>
      <c r="O571" s="5">
        <v>40566.25</v>
      </c>
      <c r="P571" t="b">
        <v>0</v>
      </c>
      <c r="Q571" t="b">
        <v>0</v>
      </c>
      <c r="R571" t="s">
        <v>71</v>
      </c>
      <c r="S571" t="s">
        <v>2042</v>
      </c>
      <c r="T571" t="s">
        <v>2050</v>
      </c>
    </row>
    <row r="572" spans="1:20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8"/>
        <v>306</v>
      </c>
      <c r="G572" t="s">
        <v>20</v>
      </c>
      <c r="H572">
        <v>2725</v>
      </c>
      <c r="I572" s="6"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5">
        <v>41993.25</v>
      </c>
      <c r="O572" s="5">
        <v>41999.25</v>
      </c>
      <c r="P572" t="b">
        <v>0</v>
      </c>
      <c r="Q572" t="b">
        <v>1</v>
      </c>
      <c r="R572" t="s">
        <v>23</v>
      </c>
      <c r="S572" t="s">
        <v>2036</v>
      </c>
      <c r="T572" t="s">
        <v>2037</v>
      </c>
    </row>
    <row r="573" spans="1:20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8"/>
        <v>94</v>
      </c>
      <c r="G573" t="s">
        <v>14</v>
      </c>
      <c r="H573">
        <v>35</v>
      </c>
      <c r="I573" s="6"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5">
        <v>42174.208333333336</v>
      </c>
      <c r="O573" s="5">
        <v>42221.208333333336</v>
      </c>
      <c r="P573" t="b">
        <v>0</v>
      </c>
      <c r="Q573" t="b">
        <v>0</v>
      </c>
      <c r="R573" t="s">
        <v>100</v>
      </c>
      <c r="S573" t="s">
        <v>2042</v>
      </c>
      <c r="T573" t="s">
        <v>2053</v>
      </c>
    </row>
    <row r="574" spans="1:20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8"/>
        <v>54</v>
      </c>
      <c r="G574" t="s">
        <v>74</v>
      </c>
      <c r="H574">
        <v>94</v>
      </c>
      <c r="I574" s="6"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5">
        <v>42275.208333333336</v>
      </c>
      <c r="O574" s="5">
        <v>42291.208333333336</v>
      </c>
      <c r="P574" t="b">
        <v>0</v>
      </c>
      <c r="Q574" t="b">
        <v>1</v>
      </c>
      <c r="R574" t="s">
        <v>23</v>
      </c>
      <c r="S574" t="s">
        <v>2036</v>
      </c>
      <c r="T574" t="s">
        <v>2037</v>
      </c>
    </row>
    <row r="575" spans="1:20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8"/>
        <v>112</v>
      </c>
      <c r="G575" t="s">
        <v>20</v>
      </c>
      <c r="H575">
        <v>300</v>
      </c>
      <c r="I575" s="6"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5">
        <v>41761.208333333336</v>
      </c>
      <c r="O575" s="5">
        <v>41763.208333333336</v>
      </c>
      <c r="P575" t="b">
        <v>0</v>
      </c>
      <c r="Q575" t="b">
        <v>0</v>
      </c>
      <c r="R575" t="s">
        <v>1029</v>
      </c>
      <c r="S575" t="s">
        <v>2065</v>
      </c>
      <c r="T575" t="s">
        <v>2066</v>
      </c>
    </row>
    <row r="576" spans="1:20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8"/>
        <v>369</v>
      </c>
      <c r="G576" t="s">
        <v>20</v>
      </c>
      <c r="H576">
        <v>144</v>
      </c>
      <c r="I576" s="6"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5">
        <v>43806.25</v>
      </c>
      <c r="O576" s="5">
        <v>43816.25</v>
      </c>
      <c r="P576" t="b">
        <v>0</v>
      </c>
      <c r="Q576" t="b">
        <v>1</v>
      </c>
      <c r="R576" t="s">
        <v>17</v>
      </c>
      <c r="S576" t="s">
        <v>2034</v>
      </c>
      <c r="T576" t="s">
        <v>2035</v>
      </c>
    </row>
    <row r="577" spans="1:20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8"/>
        <v>63</v>
      </c>
      <c r="G577" t="s">
        <v>14</v>
      </c>
      <c r="H577">
        <v>558</v>
      </c>
      <c r="I577" s="6"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5">
        <v>41779.208333333336</v>
      </c>
      <c r="O577" s="5">
        <v>41782.208333333336</v>
      </c>
      <c r="P577" t="b">
        <v>0</v>
      </c>
      <c r="Q577" t="b">
        <v>1</v>
      </c>
      <c r="R577" t="s">
        <v>33</v>
      </c>
      <c r="S577" t="s">
        <v>2040</v>
      </c>
      <c r="T577" t="s">
        <v>2041</v>
      </c>
    </row>
    <row r="578" spans="1:20" ht="31.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8"/>
        <v>65</v>
      </c>
      <c r="G578" t="s">
        <v>14</v>
      </c>
      <c r="H578">
        <v>64</v>
      </c>
      <c r="I578" s="6">
        <v>98.40625</v>
      </c>
      <c r="J578" t="s">
        <v>21</v>
      </c>
      <c r="K578" t="s">
        <v>22</v>
      </c>
      <c r="L578">
        <v>1509512400</v>
      </c>
      <c r="M578">
        <v>1510984800</v>
      </c>
      <c r="N578" s="5">
        <v>43040.208333333336</v>
      </c>
      <c r="O578" s="5">
        <v>43057.25</v>
      </c>
      <c r="P578" t="b">
        <v>0</v>
      </c>
      <c r="Q578" t="b">
        <v>0</v>
      </c>
      <c r="R578" t="s">
        <v>33</v>
      </c>
      <c r="S578" t="s">
        <v>2040</v>
      </c>
      <c r="T578" t="s">
        <v>2041</v>
      </c>
    </row>
    <row r="579" spans="1:20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si="8"/>
        <v>19</v>
      </c>
      <c r="G579" t="s">
        <v>74</v>
      </c>
      <c r="H579">
        <v>37</v>
      </c>
      <c r="I579" s="6"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5">
        <v>40613.25</v>
      </c>
      <c r="O579" s="5">
        <v>40639.208333333336</v>
      </c>
      <c r="P579" t="b">
        <v>0</v>
      </c>
      <c r="Q579" t="b">
        <v>0</v>
      </c>
      <c r="R579" t="s">
        <v>159</v>
      </c>
      <c r="S579" t="s">
        <v>2036</v>
      </c>
      <c r="T579" t="s">
        <v>2059</v>
      </c>
    </row>
    <row r="580" spans="1:20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ref="F580:F643" si="9">ROUND(E580/D580*100,0)</f>
        <v>17</v>
      </c>
      <c r="G580" t="s">
        <v>14</v>
      </c>
      <c r="H580">
        <v>245</v>
      </c>
      <c r="I580" s="6"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5">
        <v>40878.25</v>
      </c>
      <c r="O580" s="5">
        <v>40881.25</v>
      </c>
      <c r="P580" t="b">
        <v>0</v>
      </c>
      <c r="Q580" t="b">
        <v>0</v>
      </c>
      <c r="R580" t="s">
        <v>474</v>
      </c>
      <c r="S580" t="s">
        <v>2042</v>
      </c>
      <c r="T580" t="s">
        <v>2064</v>
      </c>
    </row>
    <row r="581" spans="1:20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9"/>
        <v>101</v>
      </c>
      <c r="G581" t="s">
        <v>20</v>
      </c>
      <c r="H581">
        <v>87</v>
      </c>
      <c r="I581" s="6"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5">
        <v>40762.208333333336</v>
      </c>
      <c r="O581" s="5">
        <v>40774.208333333336</v>
      </c>
      <c r="P581" t="b">
        <v>0</v>
      </c>
      <c r="Q581" t="b">
        <v>0</v>
      </c>
      <c r="R581" t="s">
        <v>159</v>
      </c>
      <c r="S581" t="s">
        <v>2036</v>
      </c>
      <c r="T581" t="s">
        <v>2059</v>
      </c>
    </row>
    <row r="582" spans="1:20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9"/>
        <v>342</v>
      </c>
      <c r="G582" t="s">
        <v>20</v>
      </c>
      <c r="H582">
        <v>3116</v>
      </c>
      <c r="I582" s="6"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5">
        <v>41696.25</v>
      </c>
      <c r="O582" s="5">
        <v>41704.25</v>
      </c>
      <c r="P582" t="b">
        <v>0</v>
      </c>
      <c r="Q582" t="b">
        <v>0</v>
      </c>
      <c r="R582" t="s">
        <v>33</v>
      </c>
      <c r="S582" t="s">
        <v>2040</v>
      </c>
      <c r="T582" t="s">
        <v>2041</v>
      </c>
    </row>
    <row r="583" spans="1:20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9"/>
        <v>64</v>
      </c>
      <c r="G583" t="s">
        <v>14</v>
      </c>
      <c r="H583">
        <v>71</v>
      </c>
      <c r="I583" s="6"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5">
        <v>40662.208333333336</v>
      </c>
      <c r="O583" s="5">
        <v>40677.208333333336</v>
      </c>
      <c r="P583" t="b">
        <v>0</v>
      </c>
      <c r="Q583" t="b">
        <v>0</v>
      </c>
      <c r="R583" t="s">
        <v>28</v>
      </c>
      <c r="S583" t="s">
        <v>2038</v>
      </c>
      <c r="T583" t="s">
        <v>2039</v>
      </c>
    </row>
    <row r="584" spans="1:20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9"/>
        <v>52</v>
      </c>
      <c r="G584" t="s">
        <v>14</v>
      </c>
      <c r="H584">
        <v>42</v>
      </c>
      <c r="I584" s="6"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5">
        <v>42165.208333333336</v>
      </c>
      <c r="O584" s="5">
        <v>42170.208333333336</v>
      </c>
      <c r="P584" t="b">
        <v>0</v>
      </c>
      <c r="Q584" t="b">
        <v>1</v>
      </c>
      <c r="R584" t="s">
        <v>89</v>
      </c>
      <c r="S584" t="s">
        <v>2051</v>
      </c>
      <c r="T584" t="s">
        <v>2052</v>
      </c>
    </row>
    <row r="585" spans="1:20" ht="31.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9"/>
        <v>322</v>
      </c>
      <c r="G585" t="s">
        <v>20</v>
      </c>
      <c r="H585">
        <v>909</v>
      </c>
      <c r="I585" s="6"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5">
        <v>40959.25</v>
      </c>
      <c r="O585" s="5">
        <v>40976.25</v>
      </c>
      <c r="P585" t="b">
        <v>0</v>
      </c>
      <c r="Q585" t="b">
        <v>0</v>
      </c>
      <c r="R585" t="s">
        <v>42</v>
      </c>
      <c r="S585" t="s">
        <v>2042</v>
      </c>
      <c r="T585" t="s">
        <v>2043</v>
      </c>
    </row>
    <row r="586" spans="1:20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9"/>
        <v>120</v>
      </c>
      <c r="G586" t="s">
        <v>20</v>
      </c>
      <c r="H586">
        <v>1613</v>
      </c>
      <c r="I586" s="6"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5">
        <v>41024.208333333336</v>
      </c>
      <c r="O586" s="5">
        <v>41038.208333333336</v>
      </c>
      <c r="P586" t="b">
        <v>0</v>
      </c>
      <c r="Q586" t="b">
        <v>0</v>
      </c>
      <c r="R586" t="s">
        <v>28</v>
      </c>
      <c r="S586" t="s">
        <v>2038</v>
      </c>
      <c r="T586" t="s">
        <v>2039</v>
      </c>
    </row>
    <row r="587" spans="1:20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9"/>
        <v>147</v>
      </c>
      <c r="G587" t="s">
        <v>20</v>
      </c>
      <c r="H587">
        <v>136</v>
      </c>
      <c r="I587" s="6"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5">
        <v>40255.208333333336</v>
      </c>
      <c r="O587" s="5">
        <v>40265.208333333336</v>
      </c>
      <c r="P587" t="b">
        <v>0</v>
      </c>
      <c r="Q587" t="b">
        <v>0</v>
      </c>
      <c r="R587" t="s">
        <v>206</v>
      </c>
      <c r="S587" t="s">
        <v>2048</v>
      </c>
      <c r="T587" t="s">
        <v>2060</v>
      </c>
    </row>
    <row r="588" spans="1:20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9"/>
        <v>951</v>
      </c>
      <c r="G588" t="s">
        <v>20</v>
      </c>
      <c r="H588">
        <v>130</v>
      </c>
      <c r="I588" s="6"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5">
        <v>40499.25</v>
      </c>
      <c r="O588" s="5">
        <v>40518.25</v>
      </c>
      <c r="P588" t="b">
        <v>0</v>
      </c>
      <c r="Q588" t="b">
        <v>0</v>
      </c>
      <c r="R588" t="s">
        <v>23</v>
      </c>
      <c r="S588" t="s">
        <v>2036</v>
      </c>
      <c r="T588" t="s">
        <v>2037</v>
      </c>
    </row>
    <row r="589" spans="1:20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9"/>
        <v>73</v>
      </c>
      <c r="G589" t="s">
        <v>14</v>
      </c>
      <c r="H589">
        <v>156</v>
      </c>
      <c r="I589" s="6"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5">
        <v>43484.25</v>
      </c>
      <c r="O589" s="5">
        <v>43536.208333333336</v>
      </c>
      <c r="P589" t="b">
        <v>0</v>
      </c>
      <c r="Q589" t="b">
        <v>1</v>
      </c>
      <c r="R589" t="s">
        <v>17</v>
      </c>
      <c r="S589" t="s">
        <v>2034</v>
      </c>
      <c r="T589" t="s">
        <v>2035</v>
      </c>
    </row>
    <row r="590" spans="1:20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9"/>
        <v>79</v>
      </c>
      <c r="G590" t="s">
        <v>14</v>
      </c>
      <c r="H590">
        <v>1368</v>
      </c>
      <c r="I590" s="6"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5">
        <v>40262.208333333336</v>
      </c>
      <c r="O590" s="5">
        <v>40293.208333333336</v>
      </c>
      <c r="P590" t="b">
        <v>0</v>
      </c>
      <c r="Q590" t="b">
        <v>0</v>
      </c>
      <c r="R590" t="s">
        <v>33</v>
      </c>
      <c r="S590" t="s">
        <v>2040</v>
      </c>
      <c r="T590" t="s">
        <v>2041</v>
      </c>
    </row>
    <row r="591" spans="1:20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9"/>
        <v>65</v>
      </c>
      <c r="G591" t="s">
        <v>14</v>
      </c>
      <c r="H591">
        <v>102</v>
      </c>
      <c r="I591" s="6"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5">
        <v>42190.208333333336</v>
      </c>
      <c r="O591" s="5">
        <v>42197.208333333336</v>
      </c>
      <c r="P591" t="b">
        <v>0</v>
      </c>
      <c r="Q591" t="b">
        <v>0</v>
      </c>
      <c r="R591" t="s">
        <v>42</v>
      </c>
      <c r="S591" t="s">
        <v>2042</v>
      </c>
      <c r="T591" t="s">
        <v>2043</v>
      </c>
    </row>
    <row r="592" spans="1:20" ht="31.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9"/>
        <v>82</v>
      </c>
      <c r="G592" t="s">
        <v>14</v>
      </c>
      <c r="H592">
        <v>86</v>
      </c>
      <c r="I592" s="6"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5">
        <v>41994.25</v>
      </c>
      <c r="O592" s="5">
        <v>42005.25</v>
      </c>
      <c r="P592" t="b">
        <v>0</v>
      </c>
      <c r="Q592" t="b">
        <v>0</v>
      </c>
      <c r="R592" t="s">
        <v>133</v>
      </c>
      <c r="S592" t="s">
        <v>2048</v>
      </c>
      <c r="T592" t="s">
        <v>2057</v>
      </c>
    </row>
    <row r="593" spans="1:20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9"/>
        <v>1038</v>
      </c>
      <c r="G593" t="s">
        <v>20</v>
      </c>
      <c r="H593">
        <v>102</v>
      </c>
      <c r="I593" s="6"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5">
        <v>40373.208333333336</v>
      </c>
      <c r="O593" s="5">
        <v>40383.208333333336</v>
      </c>
      <c r="P593" t="b">
        <v>0</v>
      </c>
      <c r="Q593" t="b">
        <v>0</v>
      </c>
      <c r="R593" t="s">
        <v>89</v>
      </c>
      <c r="S593" t="s">
        <v>2051</v>
      </c>
      <c r="T593" t="s">
        <v>2052</v>
      </c>
    </row>
    <row r="594" spans="1:20" ht="31.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9"/>
        <v>13</v>
      </c>
      <c r="G594" t="s">
        <v>14</v>
      </c>
      <c r="H594">
        <v>253</v>
      </c>
      <c r="I594" s="6"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5">
        <v>41789.208333333336</v>
      </c>
      <c r="O594" s="5">
        <v>41798.208333333336</v>
      </c>
      <c r="P594" t="b">
        <v>0</v>
      </c>
      <c r="Q594" t="b">
        <v>0</v>
      </c>
      <c r="R594" t="s">
        <v>33</v>
      </c>
      <c r="S594" t="s">
        <v>2040</v>
      </c>
      <c r="T594" t="s">
        <v>2041</v>
      </c>
    </row>
    <row r="595" spans="1:20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9"/>
        <v>155</v>
      </c>
      <c r="G595" t="s">
        <v>20</v>
      </c>
      <c r="H595">
        <v>4006</v>
      </c>
      <c r="I595" s="6"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5">
        <v>41724.208333333336</v>
      </c>
      <c r="O595" s="5">
        <v>41737.208333333336</v>
      </c>
      <c r="P595" t="b">
        <v>0</v>
      </c>
      <c r="Q595" t="b">
        <v>0</v>
      </c>
      <c r="R595" t="s">
        <v>71</v>
      </c>
      <c r="S595" t="s">
        <v>2042</v>
      </c>
      <c r="T595" t="s">
        <v>2050</v>
      </c>
    </row>
    <row r="596" spans="1:20" ht="31.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9"/>
        <v>7</v>
      </c>
      <c r="G596" t="s">
        <v>14</v>
      </c>
      <c r="H596">
        <v>157</v>
      </c>
      <c r="I596" s="6"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5">
        <v>42548.208333333336</v>
      </c>
      <c r="O596" s="5">
        <v>42551.208333333336</v>
      </c>
      <c r="P596" t="b">
        <v>0</v>
      </c>
      <c r="Q596" t="b">
        <v>1</v>
      </c>
      <c r="R596" t="s">
        <v>33</v>
      </c>
      <c r="S596" t="s">
        <v>2040</v>
      </c>
      <c r="T596" t="s">
        <v>2041</v>
      </c>
    </row>
    <row r="597" spans="1:20" ht="31.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9"/>
        <v>209</v>
      </c>
      <c r="G597" t="s">
        <v>20</v>
      </c>
      <c r="H597">
        <v>1629</v>
      </c>
      <c r="I597" s="6"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5">
        <v>40253.208333333336</v>
      </c>
      <c r="O597" s="5">
        <v>40274.208333333336</v>
      </c>
      <c r="P597" t="b">
        <v>0</v>
      </c>
      <c r="Q597" t="b">
        <v>1</v>
      </c>
      <c r="R597" t="s">
        <v>33</v>
      </c>
      <c r="S597" t="s">
        <v>2040</v>
      </c>
      <c r="T597" t="s">
        <v>2041</v>
      </c>
    </row>
    <row r="598" spans="1:20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9"/>
        <v>100</v>
      </c>
      <c r="G598" t="s">
        <v>14</v>
      </c>
      <c r="H598">
        <v>183</v>
      </c>
      <c r="I598" s="6"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5">
        <v>42434.25</v>
      </c>
      <c r="O598" s="5">
        <v>42441.25</v>
      </c>
      <c r="P598" t="b">
        <v>0</v>
      </c>
      <c r="Q598" t="b">
        <v>1</v>
      </c>
      <c r="R598" t="s">
        <v>53</v>
      </c>
      <c r="S598" t="s">
        <v>2042</v>
      </c>
      <c r="T598" t="s">
        <v>2045</v>
      </c>
    </row>
    <row r="599" spans="1:20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9"/>
        <v>202</v>
      </c>
      <c r="G599" t="s">
        <v>20</v>
      </c>
      <c r="H599">
        <v>2188</v>
      </c>
      <c r="I599" s="6"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5">
        <v>43786.25</v>
      </c>
      <c r="O599" s="5">
        <v>43804.25</v>
      </c>
      <c r="P599" t="b">
        <v>0</v>
      </c>
      <c r="Q599" t="b">
        <v>0</v>
      </c>
      <c r="R599" t="s">
        <v>33</v>
      </c>
      <c r="S599" t="s">
        <v>2040</v>
      </c>
      <c r="T599" t="s">
        <v>2041</v>
      </c>
    </row>
    <row r="600" spans="1:20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9"/>
        <v>162</v>
      </c>
      <c r="G600" t="s">
        <v>20</v>
      </c>
      <c r="H600">
        <v>2409</v>
      </c>
      <c r="I600" s="6"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5">
        <v>40344.208333333336</v>
      </c>
      <c r="O600" s="5">
        <v>40373.208333333336</v>
      </c>
      <c r="P600" t="b">
        <v>0</v>
      </c>
      <c r="Q600" t="b">
        <v>0</v>
      </c>
      <c r="R600" t="s">
        <v>23</v>
      </c>
      <c r="S600" t="s">
        <v>2036</v>
      </c>
      <c r="T600" t="s">
        <v>2037</v>
      </c>
    </row>
    <row r="601" spans="1:20" ht="31.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9"/>
        <v>4</v>
      </c>
      <c r="G601" t="s">
        <v>14</v>
      </c>
      <c r="H601">
        <v>82</v>
      </c>
      <c r="I601" s="6"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5">
        <v>42047.25</v>
      </c>
      <c r="O601" s="5">
        <v>42055.25</v>
      </c>
      <c r="P601" t="b">
        <v>0</v>
      </c>
      <c r="Q601" t="b">
        <v>0</v>
      </c>
      <c r="R601" t="s">
        <v>42</v>
      </c>
      <c r="S601" t="s">
        <v>2042</v>
      </c>
      <c r="T601" t="s">
        <v>2043</v>
      </c>
    </row>
    <row r="602" spans="1:20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9"/>
        <v>5</v>
      </c>
      <c r="G602" t="s">
        <v>14</v>
      </c>
      <c r="H602">
        <v>1</v>
      </c>
      <c r="I602" s="6">
        <v>5</v>
      </c>
      <c r="J602" t="s">
        <v>40</v>
      </c>
      <c r="K602" t="s">
        <v>41</v>
      </c>
      <c r="L602">
        <v>1375160400</v>
      </c>
      <c r="M602">
        <v>1376197200</v>
      </c>
      <c r="N602" s="5">
        <v>41485.208333333336</v>
      </c>
      <c r="O602" s="5">
        <v>41497.208333333336</v>
      </c>
      <c r="P602" t="b">
        <v>0</v>
      </c>
      <c r="Q602" t="b">
        <v>0</v>
      </c>
      <c r="R602" t="s">
        <v>17</v>
      </c>
      <c r="S602" t="s">
        <v>2034</v>
      </c>
      <c r="T602" t="s">
        <v>2035</v>
      </c>
    </row>
    <row r="603" spans="1:20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9"/>
        <v>207</v>
      </c>
      <c r="G603" t="s">
        <v>20</v>
      </c>
      <c r="H603">
        <v>194</v>
      </c>
      <c r="I603" s="6"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5">
        <v>41789.208333333336</v>
      </c>
      <c r="O603" s="5">
        <v>41806.208333333336</v>
      </c>
      <c r="P603" t="b">
        <v>1</v>
      </c>
      <c r="Q603" t="b">
        <v>0</v>
      </c>
      <c r="R603" t="s">
        <v>65</v>
      </c>
      <c r="S603" t="s">
        <v>2038</v>
      </c>
      <c r="T603" t="s">
        <v>2047</v>
      </c>
    </row>
    <row r="604" spans="1:20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9"/>
        <v>128</v>
      </c>
      <c r="G604" t="s">
        <v>20</v>
      </c>
      <c r="H604">
        <v>1140</v>
      </c>
      <c r="I604" s="6"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5">
        <v>42160.208333333336</v>
      </c>
      <c r="O604" s="5">
        <v>42171.208333333336</v>
      </c>
      <c r="P604" t="b">
        <v>0</v>
      </c>
      <c r="Q604" t="b">
        <v>0</v>
      </c>
      <c r="R604" t="s">
        <v>33</v>
      </c>
      <c r="S604" t="s">
        <v>2040</v>
      </c>
      <c r="T604" t="s">
        <v>2041</v>
      </c>
    </row>
    <row r="605" spans="1:20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9"/>
        <v>120</v>
      </c>
      <c r="G605" t="s">
        <v>20</v>
      </c>
      <c r="H605">
        <v>102</v>
      </c>
      <c r="I605" s="6"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5">
        <v>43573.208333333336</v>
      </c>
      <c r="O605" s="5">
        <v>43600.208333333336</v>
      </c>
      <c r="P605" t="b">
        <v>0</v>
      </c>
      <c r="Q605" t="b">
        <v>0</v>
      </c>
      <c r="R605" t="s">
        <v>33</v>
      </c>
      <c r="S605" t="s">
        <v>2040</v>
      </c>
      <c r="T605" t="s">
        <v>2041</v>
      </c>
    </row>
    <row r="606" spans="1:20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9"/>
        <v>171</v>
      </c>
      <c r="G606" t="s">
        <v>20</v>
      </c>
      <c r="H606">
        <v>2857</v>
      </c>
      <c r="I606" s="6"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5">
        <v>40565.25</v>
      </c>
      <c r="O606" s="5">
        <v>40586.25</v>
      </c>
      <c r="P606" t="b">
        <v>0</v>
      </c>
      <c r="Q606" t="b">
        <v>0</v>
      </c>
      <c r="R606" t="s">
        <v>33</v>
      </c>
      <c r="S606" t="s">
        <v>2040</v>
      </c>
      <c r="T606" t="s">
        <v>2041</v>
      </c>
    </row>
    <row r="607" spans="1:20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9"/>
        <v>187</v>
      </c>
      <c r="G607" t="s">
        <v>20</v>
      </c>
      <c r="H607">
        <v>107</v>
      </c>
      <c r="I607" s="6"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5">
        <v>42280.208333333336</v>
      </c>
      <c r="O607" s="5">
        <v>42321.25</v>
      </c>
      <c r="P607" t="b">
        <v>0</v>
      </c>
      <c r="Q607" t="b">
        <v>0</v>
      </c>
      <c r="R607" t="s">
        <v>68</v>
      </c>
      <c r="S607" t="s">
        <v>2048</v>
      </c>
      <c r="T607" t="s">
        <v>2049</v>
      </c>
    </row>
    <row r="608" spans="1:20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9"/>
        <v>188</v>
      </c>
      <c r="G608" t="s">
        <v>20</v>
      </c>
      <c r="H608">
        <v>160</v>
      </c>
      <c r="I608" s="6">
        <v>40.03125</v>
      </c>
      <c r="J608" t="s">
        <v>40</v>
      </c>
      <c r="K608" t="s">
        <v>41</v>
      </c>
      <c r="L608">
        <v>1457330400</v>
      </c>
      <c r="M608">
        <v>1458277200</v>
      </c>
      <c r="N608" s="5">
        <v>42436.25</v>
      </c>
      <c r="O608" s="5">
        <v>42447.208333333336</v>
      </c>
      <c r="P608" t="b">
        <v>0</v>
      </c>
      <c r="Q608" t="b">
        <v>0</v>
      </c>
      <c r="R608" t="s">
        <v>23</v>
      </c>
      <c r="S608" t="s">
        <v>2036</v>
      </c>
      <c r="T608" t="s">
        <v>2037</v>
      </c>
    </row>
    <row r="609" spans="1:20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9"/>
        <v>131</v>
      </c>
      <c r="G609" t="s">
        <v>20</v>
      </c>
      <c r="H609">
        <v>2230</v>
      </c>
      <c r="I609" s="6"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5">
        <v>41721.208333333336</v>
      </c>
      <c r="O609" s="5">
        <v>41723.208333333336</v>
      </c>
      <c r="P609" t="b">
        <v>0</v>
      </c>
      <c r="Q609" t="b">
        <v>0</v>
      </c>
      <c r="R609" t="s">
        <v>17</v>
      </c>
      <c r="S609" t="s">
        <v>2034</v>
      </c>
      <c r="T609" t="s">
        <v>2035</v>
      </c>
    </row>
    <row r="610" spans="1:20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9"/>
        <v>284</v>
      </c>
      <c r="G610" t="s">
        <v>20</v>
      </c>
      <c r="H610">
        <v>316</v>
      </c>
      <c r="I610" s="6"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5">
        <v>43530.25</v>
      </c>
      <c r="O610" s="5">
        <v>43534.25</v>
      </c>
      <c r="P610" t="b">
        <v>0</v>
      </c>
      <c r="Q610" t="b">
        <v>1</v>
      </c>
      <c r="R610" t="s">
        <v>159</v>
      </c>
      <c r="S610" t="s">
        <v>2036</v>
      </c>
      <c r="T610" t="s">
        <v>2059</v>
      </c>
    </row>
    <row r="611" spans="1:20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9"/>
        <v>120</v>
      </c>
      <c r="G611" t="s">
        <v>20</v>
      </c>
      <c r="H611">
        <v>117</v>
      </c>
      <c r="I611" s="6"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5">
        <v>43481.25</v>
      </c>
      <c r="O611" s="5">
        <v>43498.25</v>
      </c>
      <c r="P611" t="b">
        <v>0</v>
      </c>
      <c r="Q611" t="b">
        <v>0</v>
      </c>
      <c r="R611" t="s">
        <v>474</v>
      </c>
      <c r="S611" t="s">
        <v>2042</v>
      </c>
      <c r="T611" t="s">
        <v>2064</v>
      </c>
    </row>
    <row r="612" spans="1:20" ht="31.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9"/>
        <v>419</v>
      </c>
      <c r="G612" t="s">
        <v>20</v>
      </c>
      <c r="H612">
        <v>6406</v>
      </c>
      <c r="I612" s="6"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5">
        <v>41259.25</v>
      </c>
      <c r="O612" s="5">
        <v>41273.25</v>
      </c>
      <c r="P612" t="b">
        <v>0</v>
      </c>
      <c r="Q612" t="b">
        <v>0</v>
      </c>
      <c r="R612" t="s">
        <v>33</v>
      </c>
      <c r="S612" t="s">
        <v>2040</v>
      </c>
      <c r="T612" t="s">
        <v>2041</v>
      </c>
    </row>
    <row r="613" spans="1:20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9"/>
        <v>14</v>
      </c>
      <c r="G613" t="s">
        <v>74</v>
      </c>
      <c r="H613">
        <v>15</v>
      </c>
      <c r="I613" s="6"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5">
        <v>41480.208333333336</v>
      </c>
      <c r="O613" s="5">
        <v>41492.208333333336</v>
      </c>
      <c r="P613" t="b">
        <v>0</v>
      </c>
      <c r="Q613" t="b">
        <v>0</v>
      </c>
      <c r="R613" t="s">
        <v>33</v>
      </c>
      <c r="S613" t="s">
        <v>2040</v>
      </c>
      <c r="T613" t="s">
        <v>2041</v>
      </c>
    </row>
    <row r="614" spans="1:20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9"/>
        <v>139</v>
      </c>
      <c r="G614" t="s">
        <v>20</v>
      </c>
      <c r="H614">
        <v>192</v>
      </c>
      <c r="I614" s="6"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5">
        <v>40474.208333333336</v>
      </c>
      <c r="O614" s="5">
        <v>40497.25</v>
      </c>
      <c r="P614" t="b">
        <v>0</v>
      </c>
      <c r="Q614" t="b">
        <v>0</v>
      </c>
      <c r="R614" t="s">
        <v>50</v>
      </c>
      <c r="S614" t="s">
        <v>2036</v>
      </c>
      <c r="T614" t="s">
        <v>2044</v>
      </c>
    </row>
    <row r="615" spans="1:20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9"/>
        <v>174</v>
      </c>
      <c r="G615" t="s">
        <v>20</v>
      </c>
      <c r="H615">
        <v>26</v>
      </c>
      <c r="I615" s="6"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5">
        <v>42973.208333333336</v>
      </c>
      <c r="O615" s="5">
        <v>42982.208333333336</v>
      </c>
      <c r="P615" t="b">
        <v>0</v>
      </c>
      <c r="Q615" t="b">
        <v>0</v>
      </c>
      <c r="R615" t="s">
        <v>33</v>
      </c>
      <c r="S615" t="s">
        <v>2040</v>
      </c>
      <c r="T615" t="s">
        <v>2041</v>
      </c>
    </row>
    <row r="616" spans="1:20" ht="31.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9"/>
        <v>155</v>
      </c>
      <c r="G616" t="s">
        <v>20</v>
      </c>
      <c r="H616">
        <v>723</v>
      </c>
      <c r="I616" s="6"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5">
        <v>42746.25</v>
      </c>
      <c r="O616" s="5">
        <v>42764.25</v>
      </c>
      <c r="P616" t="b">
        <v>0</v>
      </c>
      <c r="Q616" t="b">
        <v>0</v>
      </c>
      <c r="R616" t="s">
        <v>33</v>
      </c>
      <c r="S616" t="s">
        <v>2040</v>
      </c>
      <c r="T616" t="s">
        <v>2041</v>
      </c>
    </row>
    <row r="617" spans="1:20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9"/>
        <v>170</v>
      </c>
      <c r="G617" t="s">
        <v>20</v>
      </c>
      <c r="H617">
        <v>170</v>
      </c>
      <c r="I617" s="6"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5">
        <v>42489.208333333336</v>
      </c>
      <c r="O617" s="5">
        <v>42499.208333333336</v>
      </c>
      <c r="P617" t="b">
        <v>0</v>
      </c>
      <c r="Q617" t="b">
        <v>0</v>
      </c>
      <c r="R617" t="s">
        <v>33</v>
      </c>
      <c r="S617" t="s">
        <v>2040</v>
      </c>
      <c r="T617" t="s">
        <v>2041</v>
      </c>
    </row>
    <row r="618" spans="1:20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9"/>
        <v>190</v>
      </c>
      <c r="G618" t="s">
        <v>20</v>
      </c>
      <c r="H618">
        <v>238</v>
      </c>
      <c r="I618" s="6"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5">
        <v>41537.208333333336</v>
      </c>
      <c r="O618" s="5">
        <v>41538.208333333336</v>
      </c>
      <c r="P618" t="b">
        <v>0</v>
      </c>
      <c r="Q618" t="b">
        <v>1</v>
      </c>
      <c r="R618" t="s">
        <v>60</v>
      </c>
      <c r="S618" t="s">
        <v>2036</v>
      </c>
      <c r="T618" t="s">
        <v>2046</v>
      </c>
    </row>
    <row r="619" spans="1:20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9"/>
        <v>250</v>
      </c>
      <c r="G619" t="s">
        <v>20</v>
      </c>
      <c r="H619">
        <v>55</v>
      </c>
      <c r="I619" s="6"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5">
        <v>41794.208333333336</v>
      </c>
      <c r="O619" s="5">
        <v>41804.208333333336</v>
      </c>
      <c r="P619" t="b">
        <v>0</v>
      </c>
      <c r="Q619" t="b">
        <v>0</v>
      </c>
      <c r="R619" t="s">
        <v>33</v>
      </c>
      <c r="S619" t="s">
        <v>2040</v>
      </c>
      <c r="T619" t="s">
        <v>2041</v>
      </c>
    </row>
    <row r="620" spans="1:20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9"/>
        <v>49</v>
      </c>
      <c r="G620" t="s">
        <v>14</v>
      </c>
      <c r="H620">
        <v>1198</v>
      </c>
      <c r="I620" s="6"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5">
        <v>41396.208333333336</v>
      </c>
      <c r="O620" s="5">
        <v>41417.208333333336</v>
      </c>
      <c r="P620" t="b">
        <v>0</v>
      </c>
      <c r="Q620" t="b">
        <v>0</v>
      </c>
      <c r="R620" t="s">
        <v>68</v>
      </c>
      <c r="S620" t="s">
        <v>2048</v>
      </c>
      <c r="T620" t="s">
        <v>2049</v>
      </c>
    </row>
    <row r="621" spans="1:20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9"/>
        <v>28</v>
      </c>
      <c r="G621" t="s">
        <v>14</v>
      </c>
      <c r="H621">
        <v>648</v>
      </c>
      <c r="I621" s="6"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5">
        <v>40669.208333333336</v>
      </c>
      <c r="O621" s="5">
        <v>40670.208333333336</v>
      </c>
      <c r="P621" t="b">
        <v>1</v>
      </c>
      <c r="Q621" t="b">
        <v>1</v>
      </c>
      <c r="R621" t="s">
        <v>33</v>
      </c>
      <c r="S621" t="s">
        <v>2040</v>
      </c>
      <c r="T621" t="s">
        <v>2041</v>
      </c>
    </row>
    <row r="622" spans="1:20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9"/>
        <v>268</v>
      </c>
      <c r="G622" t="s">
        <v>20</v>
      </c>
      <c r="H622">
        <v>128</v>
      </c>
      <c r="I622" s="6"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5">
        <v>42559.208333333336</v>
      </c>
      <c r="O622" s="5">
        <v>42563.208333333336</v>
      </c>
      <c r="P622" t="b">
        <v>0</v>
      </c>
      <c r="Q622" t="b">
        <v>0</v>
      </c>
      <c r="R622" t="s">
        <v>122</v>
      </c>
      <c r="S622" t="s">
        <v>2055</v>
      </c>
      <c r="T622" t="s">
        <v>2056</v>
      </c>
    </row>
    <row r="623" spans="1:20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9"/>
        <v>620</v>
      </c>
      <c r="G623" t="s">
        <v>20</v>
      </c>
      <c r="H623">
        <v>2144</v>
      </c>
      <c r="I623" s="6"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5">
        <v>42626.208333333336</v>
      </c>
      <c r="O623" s="5">
        <v>42631.208333333336</v>
      </c>
      <c r="P623" t="b">
        <v>0</v>
      </c>
      <c r="Q623" t="b">
        <v>0</v>
      </c>
      <c r="R623" t="s">
        <v>33</v>
      </c>
      <c r="S623" t="s">
        <v>2040</v>
      </c>
      <c r="T623" t="s">
        <v>2041</v>
      </c>
    </row>
    <row r="624" spans="1:20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9"/>
        <v>3</v>
      </c>
      <c r="G624" t="s">
        <v>14</v>
      </c>
      <c r="H624">
        <v>64</v>
      </c>
      <c r="I624" s="6">
        <v>92.4375</v>
      </c>
      <c r="J624" t="s">
        <v>21</v>
      </c>
      <c r="K624" t="s">
        <v>22</v>
      </c>
      <c r="L624">
        <v>1523768400</v>
      </c>
      <c r="M624">
        <v>1526014800</v>
      </c>
      <c r="N624" s="5">
        <v>43205.208333333336</v>
      </c>
      <c r="O624" s="5">
        <v>43231.208333333336</v>
      </c>
      <c r="P624" t="b">
        <v>0</v>
      </c>
      <c r="Q624" t="b">
        <v>0</v>
      </c>
      <c r="R624" t="s">
        <v>60</v>
      </c>
      <c r="S624" t="s">
        <v>2036</v>
      </c>
      <c r="T624" t="s">
        <v>2046</v>
      </c>
    </row>
    <row r="625" spans="1:20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9"/>
        <v>160</v>
      </c>
      <c r="G625" t="s">
        <v>20</v>
      </c>
      <c r="H625">
        <v>2693</v>
      </c>
      <c r="I625" s="6"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5">
        <v>42201.208333333336</v>
      </c>
      <c r="O625" s="5">
        <v>42206.208333333336</v>
      </c>
      <c r="P625" t="b">
        <v>0</v>
      </c>
      <c r="Q625" t="b">
        <v>0</v>
      </c>
      <c r="R625" t="s">
        <v>33</v>
      </c>
      <c r="S625" t="s">
        <v>2040</v>
      </c>
      <c r="T625" t="s">
        <v>2041</v>
      </c>
    </row>
    <row r="626" spans="1:20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9"/>
        <v>279</v>
      </c>
      <c r="G626" t="s">
        <v>20</v>
      </c>
      <c r="H626">
        <v>432</v>
      </c>
      <c r="I626" s="6"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5">
        <v>42029.25</v>
      </c>
      <c r="O626" s="5">
        <v>42035.25</v>
      </c>
      <c r="P626" t="b">
        <v>0</v>
      </c>
      <c r="Q626" t="b">
        <v>0</v>
      </c>
      <c r="R626" t="s">
        <v>122</v>
      </c>
      <c r="S626" t="s">
        <v>2055</v>
      </c>
      <c r="T626" t="s">
        <v>2056</v>
      </c>
    </row>
    <row r="627" spans="1:20" ht="31.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9"/>
        <v>77</v>
      </c>
      <c r="G627" t="s">
        <v>14</v>
      </c>
      <c r="H627">
        <v>62</v>
      </c>
      <c r="I627" s="6"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5">
        <v>43857.25</v>
      </c>
      <c r="O627" s="5">
        <v>43871.25</v>
      </c>
      <c r="P627" t="b">
        <v>0</v>
      </c>
      <c r="Q627" t="b">
        <v>0</v>
      </c>
      <c r="R627" t="s">
        <v>33</v>
      </c>
      <c r="S627" t="s">
        <v>2040</v>
      </c>
      <c r="T627" t="s">
        <v>2041</v>
      </c>
    </row>
    <row r="628" spans="1:20" ht="31.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9"/>
        <v>206</v>
      </c>
      <c r="G628" t="s">
        <v>20</v>
      </c>
      <c r="H628">
        <v>189</v>
      </c>
      <c r="I628" s="6"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5">
        <v>40449.208333333336</v>
      </c>
      <c r="O628" s="5">
        <v>40458.208333333336</v>
      </c>
      <c r="P628" t="b">
        <v>0</v>
      </c>
      <c r="Q628" t="b">
        <v>1</v>
      </c>
      <c r="R628" t="s">
        <v>33</v>
      </c>
      <c r="S628" t="s">
        <v>2040</v>
      </c>
      <c r="T628" t="s">
        <v>2041</v>
      </c>
    </row>
    <row r="629" spans="1:20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9"/>
        <v>694</v>
      </c>
      <c r="G629" t="s">
        <v>20</v>
      </c>
      <c r="H629">
        <v>154</v>
      </c>
      <c r="I629" s="6"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5">
        <v>40345.208333333336</v>
      </c>
      <c r="O629" s="5">
        <v>40369.208333333336</v>
      </c>
      <c r="P629" t="b">
        <v>1</v>
      </c>
      <c r="Q629" t="b">
        <v>0</v>
      </c>
      <c r="R629" t="s">
        <v>17</v>
      </c>
      <c r="S629" t="s">
        <v>2034</v>
      </c>
      <c r="T629" t="s">
        <v>2035</v>
      </c>
    </row>
    <row r="630" spans="1:20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9"/>
        <v>152</v>
      </c>
      <c r="G630" t="s">
        <v>20</v>
      </c>
      <c r="H630">
        <v>96</v>
      </c>
      <c r="I630" s="6"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5">
        <v>40455.208333333336</v>
      </c>
      <c r="O630" s="5">
        <v>40458.208333333336</v>
      </c>
      <c r="P630" t="b">
        <v>0</v>
      </c>
      <c r="Q630" t="b">
        <v>0</v>
      </c>
      <c r="R630" t="s">
        <v>60</v>
      </c>
      <c r="S630" t="s">
        <v>2036</v>
      </c>
      <c r="T630" t="s">
        <v>2046</v>
      </c>
    </row>
    <row r="631" spans="1:20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9"/>
        <v>65</v>
      </c>
      <c r="G631" t="s">
        <v>14</v>
      </c>
      <c r="H631">
        <v>750</v>
      </c>
      <c r="I631" s="6"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5">
        <v>42557.208333333336</v>
      </c>
      <c r="O631" s="5">
        <v>42559.208333333336</v>
      </c>
      <c r="P631" t="b">
        <v>0</v>
      </c>
      <c r="Q631" t="b">
        <v>1</v>
      </c>
      <c r="R631" t="s">
        <v>33</v>
      </c>
      <c r="S631" t="s">
        <v>2040</v>
      </c>
      <c r="T631" t="s">
        <v>2041</v>
      </c>
    </row>
    <row r="632" spans="1:20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9"/>
        <v>63</v>
      </c>
      <c r="G632" t="s">
        <v>74</v>
      </c>
      <c r="H632">
        <v>87</v>
      </c>
      <c r="I632" s="6"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5">
        <v>43586.208333333336</v>
      </c>
      <c r="O632" s="5">
        <v>43597.208333333336</v>
      </c>
      <c r="P632" t="b">
        <v>0</v>
      </c>
      <c r="Q632" t="b">
        <v>1</v>
      </c>
      <c r="R632" t="s">
        <v>33</v>
      </c>
      <c r="S632" t="s">
        <v>2040</v>
      </c>
      <c r="T632" t="s">
        <v>2041</v>
      </c>
    </row>
    <row r="633" spans="1:20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9"/>
        <v>310</v>
      </c>
      <c r="G633" t="s">
        <v>20</v>
      </c>
      <c r="H633">
        <v>3063</v>
      </c>
      <c r="I633" s="6"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5">
        <v>43550.208333333336</v>
      </c>
      <c r="O633" s="5">
        <v>43554.208333333336</v>
      </c>
      <c r="P633" t="b">
        <v>0</v>
      </c>
      <c r="Q633" t="b">
        <v>0</v>
      </c>
      <c r="R633" t="s">
        <v>33</v>
      </c>
      <c r="S633" t="s">
        <v>2040</v>
      </c>
      <c r="T633" t="s">
        <v>2041</v>
      </c>
    </row>
    <row r="634" spans="1:20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9"/>
        <v>43</v>
      </c>
      <c r="G634" t="s">
        <v>47</v>
      </c>
      <c r="H634">
        <v>278</v>
      </c>
      <c r="I634" s="6"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5">
        <v>41945.208333333336</v>
      </c>
      <c r="O634" s="5">
        <v>41963.25</v>
      </c>
      <c r="P634" t="b">
        <v>0</v>
      </c>
      <c r="Q634" t="b">
        <v>0</v>
      </c>
      <c r="R634" t="s">
        <v>33</v>
      </c>
      <c r="S634" t="s">
        <v>2040</v>
      </c>
      <c r="T634" t="s">
        <v>2041</v>
      </c>
    </row>
    <row r="635" spans="1:20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9"/>
        <v>83</v>
      </c>
      <c r="G635" t="s">
        <v>14</v>
      </c>
      <c r="H635">
        <v>105</v>
      </c>
      <c r="I635" s="6"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5">
        <v>42315.25</v>
      </c>
      <c r="O635" s="5">
        <v>42319.25</v>
      </c>
      <c r="P635" t="b">
        <v>0</v>
      </c>
      <c r="Q635" t="b">
        <v>0</v>
      </c>
      <c r="R635" t="s">
        <v>71</v>
      </c>
      <c r="S635" t="s">
        <v>2042</v>
      </c>
      <c r="T635" t="s">
        <v>2050</v>
      </c>
    </row>
    <row r="636" spans="1:20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9"/>
        <v>79</v>
      </c>
      <c r="G636" t="s">
        <v>74</v>
      </c>
      <c r="H636">
        <v>1658</v>
      </c>
      <c r="I636" s="6"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5">
        <v>42819.208333333336</v>
      </c>
      <c r="O636" s="5">
        <v>42833.208333333336</v>
      </c>
      <c r="P636" t="b">
        <v>0</v>
      </c>
      <c r="Q636" t="b">
        <v>0</v>
      </c>
      <c r="R636" t="s">
        <v>269</v>
      </c>
      <c r="S636" t="s">
        <v>2042</v>
      </c>
      <c r="T636" t="s">
        <v>2061</v>
      </c>
    </row>
    <row r="637" spans="1:20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9"/>
        <v>114</v>
      </c>
      <c r="G637" t="s">
        <v>20</v>
      </c>
      <c r="H637">
        <v>2266</v>
      </c>
      <c r="I637" s="6"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5">
        <v>41314.25</v>
      </c>
      <c r="O637" s="5">
        <v>41346.208333333336</v>
      </c>
      <c r="P637" t="b">
        <v>0</v>
      </c>
      <c r="Q637" t="b">
        <v>0</v>
      </c>
      <c r="R637" t="s">
        <v>269</v>
      </c>
      <c r="S637" t="s">
        <v>2042</v>
      </c>
      <c r="T637" t="s">
        <v>2061</v>
      </c>
    </row>
    <row r="638" spans="1:20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9"/>
        <v>65</v>
      </c>
      <c r="G638" t="s">
        <v>14</v>
      </c>
      <c r="H638">
        <v>2604</v>
      </c>
      <c r="I638" s="6"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5">
        <v>40926.25</v>
      </c>
      <c r="O638" s="5">
        <v>40971.25</v>
      </c>
      <c r="P638" t="b">
        <v>0</v>
      </c>
      <c r="Q638" t="b">
        <v>1</v>
      </c>
      <c r="R638" t="s">
        <v>71</v>
      </c>
      <c r="S638" t="s">
        <v>2042</v>
      </c>
      <c r="T638" t="s">
        <v>2050</v>
      </c>
    </row>
    <row r="639" spans="1:20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9"/>
        <v>79</v>
      </c>
      <c r="G639" t="s">
        <v>14</v>
      </c>
      <c r="H639">
        <v>65</v>
      </c>
      <c r="I639" s="6"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5">
        <v>42688.25</v>
      </c>
      <c r="O639" s="5">
        <v>42696.25</v>
      </c>
      <c r="P639" t="b">
        <v>0</v>
      </c>
      <c r="Q639" t="b">
        <v>0</v>
      </c>
      <c r="R639" t="s">
        <v>33</v>
      </c>
      <c r="S639" t="s">
        <v>2040</v>
      </c>
      <c r="T639" t="s">
        <v>2041</v>
      </c>
    </row>
    <row r="640" spans="1:20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9"/>
        <v>11</v>
      </c>
      <c r="G640" t="s">
        <v>14</v>
      </c>
      <c r="H640">
        <v>94</v>
      </c>
      <c r="I640" s="6"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5">
        <v>40386.208333333336</v>
      </c>
      <c r="O640" s="5">
        <v>40398.208333333336</v>
      </c>
      <c r="P640" t="b">
        <v>0</v>
      </c>
      <c r="Q640" t="b">
        <v>1</v>
      </c>
      <c r="R640" t="s">
        <v>33</v>
      </c>
      <c r="S640" t="s">
        <v>2040</v>
      </c>
      <c r="T640" t="s">
        <v>2041</v>
      </c>
    </row>
    <row r="641" spans="1:20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9"/>
        <v>56</v>
      </c>
      <c r="G641" t="s">
        <v>47</v>
      </c>
      <c r="H641">
        <v>45</v>
      </c>
      <c r="I641" s="6"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5">
        <v>43309.208333333336</v>
      </c>
      <c r="O641" s="5">
        <v>43309.208333333336</v>
      </c>
      <c r="P641" t="b">
        <v>0</v>
      </c>
      <c r="Q641" t="b">
        <v>1</v>
      </c>
      <c r="R641" t="s">
        <v>53</v>
      </c>
      <c r="S641" t="s">
        <v>2042</v>
      </c>
      <c r="T641" t="s">
        <v>2045</v>
      </c>
    </row>
    <row r="642" spans="1:20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9"/>
        <v>17</v>
      </c>
      <c r="G642" t="s">
        <v>14</v>
      </c>
      <c r="H642">
        <v>257</v>
      </c>
      <c r="I642" s="6"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5">
        <v>42387.25</v>
      </c>
      <c r="O642" s="5">
        <v>42390.25</v>
      </c>
      <c r="P642" t="b">
        <v>0</v>
      </c>
      <c r="Q642" t="b">
        <v>0</v>
      </c>
      <c r="R642" t="s">
        <v>33</v>
      </c>
      <c r="S642" t="s">
        <v>2040</v>
      </c>
      <c r="T642" t="s">
        <v>2041</v>
      </c>
    </row>
    <row r="643" spans="1:20" ht="31.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si="9"/>
        <v>120</v>
      </c>
      <c r="G643" t="s">
        <v>20</v>
      </c>
      <c r="H643">
        <v>194</v>
      </c>
      <c r="I643" s="6"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5">
        <v>42786.25</v>
      </c>
      <c r="O643" s="5">
        <v>42814.208333333336</v>
      </c>
      <c r="P643" t="b">
        <v>0</v>
      </c>
      <c r="Q643" t="b">
        <v>0</v>
      </c>
      <c r="R643" t="s">
        <v>33</v>
      </c>
      <c r="S643" t="s">
        <v>2040</v>
      </c>
      <c r="T643" t="s">
        <v>2041</v>
      </c>
    </row>
    <row r="644" spans="1:20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ref="F644:F707" si="10">ROUND(E644/D644*100,0)</f>
        <v>145</v>
      </c>
      <c r="G644" t="s">
        <v>20</v>
      </c>
      <c r="H644">
        <v>129</v>
      </c>
      <c r="I644" s="6"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5">
        <v>43451.25</v>
      </c>
      <c r="O644" s="5">
        <v>43460.25</v>
      </c>
      <c r="P644" t="b">
        <v>0</v>
      </c>
      <c r="Q644" t="b">
        <v>0</v>
      </c>
      <c r="R644" t="s">
        <v>65</v>
      </c>
      <c r="S644" t="s">
        <v>2038</v>
      </c>
      <c r="T644" t="s">
        <v>2047</v>
      </c>
    </row>
    <row r="645" spans="1:20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10"/>
        <v>221</v>
      </c>
      <c r="G645" t="s">
        <v>20</v>
      </c>
      <c r="H645">
        <v>375</v>
      </c>
      <c r="I645" s="6"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5">
        <v>42795.25</v>
      </c>
      <c r="O645" s="5">
        <v>42813.208333333336</v>
      </c>
      <c r="P645" t="b">
        <v>0</v>
      </c>
      <c r="Q645" t="b">
        <v>0</v>
      </c>
      <c r="R645" t="s">
        <v>33</v>
      </c>
      <c r="S645" t="s">
        <v>2040</v>
      </c>
      <c r="T645" t="s">
        <v>2041</v>
      </c>
    </row>
    <row r="646" spans="1:20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10"/>
        <v>48</v>
      </c>
      <c r="G646" t="s">
        <v>14</v>
      </c>
      <c r="H646">
        <v>2928</v>
      </c>
      <c r="I646" s="6">
        <v>28</v>
      </c>
      <c r="J646" t="s">
        <v>15</v>
      </c>
      <c r="K646" t="s">
        <v>16</v>
      </c>
      <c r="L646">
        <v>1545112800</v>
      </c>
      <c r="M646">
        <v>1546495200</v>
      </c>
      <c r="N646" s="5">
        <v>43452.25</v>
      </c>
      <c r="O646" s="5">
        <v>43468.25</v>
      </c>
      <c r="P646" t="b">
        <v>0</v>
      </c>
      <c r="Q646" t="b">
        <v>0</v>
      </c>
      <c r="R646" t="s">
        <v>33</v>
      </c>
      <c r="S646" t="s">
        <v>2040</v>
      </c>
      <c r="T646" t="s">
        <v>2041</v>
      </c>
    </row>
    <row r="647" spans="1:20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10"/>
        <v>93</v>
      </c>
      <c r="G647" t="s">
        <v>14</v>
      </c>
      <c r="H647">
        <v>4697</v>
      </c>
      <c r="I647" s="6"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5">
        <v>43369.208333333336</v>
      </c>
      <c r="O647" s="5">
        <v>43390.208333333336</v>
      </c>
      <c r="P647" t="b">
        <v>0</v>
      </c>
      <c r="Q647" t="b">
        <v>1</v>
      </c>
      <c r="R647" t="s">
        <v>23</v>
      </c>
      <c r="S647" t="s">
        <v>2036</v>
      </c>
      <c r="T647" t="s">
        <v>2037</v>
      </c>
    </row>
    <row r="648" spans="1:20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10"/>
        <v>89</v>
      </c>
      <c r="G648" t="s">
        <v>14</v>
      </c>
      <c r="H648">
        <v>2915</v>
      </c>
      <c r="I648" s="6"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5">
        <v>41346.208333333336</v>
      </c>
      <c r="O648" s="5">
        <v>41357.208333333336</v>
      </c>
      <c r="P648" t="b">
        <v>0</v>
      </c>
      <c r="Q648" t="b">
        <v>0</v>
      </c>
      <c r="R648" t="s">
        <v>89</v>
      </c>
      <c r="S648" t="s">
        <v>2051</v>
      </c>
      <c r="T648" t="s">
        <v>2052</v>
      </c>
    </row>
    <row r="649" spans="1:20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10"/>
        <v>41</v>
      </c>
      <c r="G649" t="s">
        <v>14</v>
      </c>
      <c r="H649">
        <v>18</v>
      </c>
      <c r="I649" s="6">
        <v>103.5</v>
      </c>
      <c r="J649" t="s">
        <v>21</v>
      </c>
      <c r="K649" t="s">
        <v>22</v>
      </c>
      <c r="L649">
        <v>1523250000</v>
      </c>
      <c r="M649">
        <v>1525323600</v>
      </c>
      <c r="N649" s="5">
        <v>43199.208333333336</v>
      </c>
      <c r="O649" s="5">
        <v>43223.208333333336</v>
      </c>
      <c r="P649" t="b">
        <v>0</v>
      </c>
      <c r="Q649" t="b">
        <v>0</v>
      </c>
      <c r="R649" t="s">
        <v>206</v>
      </c>
      <c r="S649" t="s">
        <v>2048</v>
      </c>
      <c r="T649" t="s">
        <v>2060</v>
      </c>
    </row>
    <row r="650" spans="1:20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10"/>
        <v>63</v>
      </c>
      <c r="G650" t="s">
        <v>74</v>
      </c>
      <c r="H650">
        <v>723</v>
      </c>
      <c r="I650" s="6"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5">
        <v>42922.208333333336</v>
      </c>
      <c r="O650" s="5">
        <v>42940.208333333336</v>
      </c>
      <c r="P650" t="b">
        <v>1</v>
      </c>
      <c r="Q650" t="b">
        <v>0</v>
      </c>
      <c r="R650" t="s">
        <v>17</v>
      </c>
      <c r="S650" t="s">
        <v>2034</v>
      </c>
      <c r="T650" t="s">
        <v>2035</v>
      </c>
    </row>
    <row r="651" spans="1:20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10"/>
        <v>48</v>
      </c>
      <c r="G651" t="s">
        <v>14</v>
      </c>
      <c r="H651">
        <v>602</v>
      </c>
      <c r="I651" s="6"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5">
        <v>40471.208333333336</v>
      </c>
      <c r="O651" s="5">
        <v>40482.208333333336</v>
      </c>
      <c r="P651" t="b">
        <v>1</v>
      </c>
      <c r="Q651" t="b">
        <v>1</v>
      </c>
      <c r="R651" t="s">
        <v>33</v>
      </c>
      <c r="S651" t="s">
        <v>2040</v>
      </c>
      <c r="T651" t="s">
        <v>2041</v>
      </c>
    </row>
    <row r="652" spans="1:20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10"/>
        <v>2</v>
      </c>
      <c r="G652" t="s">
        <v>14</v>
      </c>
      <c r="H652">
        <v>1</v>
      </c>
      <c r="I652" s="6">
        <v>2</v>
      </c>
      <c r="J652" t="s">
        <v>21</v>
      </c>
      <c r="K652" t="s">
        <v>22</v>
      </c>
      <c r="L652">
        <v>1404795600</v>
      </c>
      <c r="M652">
        <v>1407128400</v>
      </c>
      <c r="N652" s="5">
        <v>41828.208333333336</v>
      </c>
      <c r="O652" s="5">
        <v>41855.208333333336</v>
      </c>
      <c r="P652" t="b">
        <v>0</v>
      </c>
      <c r="Q652" t="b">
        <v>0</v>
      </c>
      <c r="R652" t="s">
        <v>159</v>
      </c>
      <c r="S652" t="s">
        <v>2036</v>
      </c>
      <c r="T652" t="s">
        <v>2059</v>
      </c>
    </row>
    <row r="653" spans="1:20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10"/>
        <v>88</v>
      </c>
      <c r="G653" t="s">
        <v>14</v>
      </c>
      <c r="H653">
        <v>3868</v>
      </c>
      <c r="I653" s="6"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5">
        <v>41692.25</v>
      </c>
      <c r="O653" s="5">
        <v>41707.25</v>
      </c>
      <c r="P653" t="b">
        <v>0</v>
      </c>
      <c r="Q653" t="b">
        <v>0</v>
      </c>
      <c r="R653" t="s">
        <v>100</v>
      </c>
      <c r="S653" t="s">
        <v>2042</v>
      </c>
      <c r="T653" t="s">
        <v>2053</v>
      </c>
    </row>
    <row r="654" spans="1:20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10"/>
        <v>127</v>
      </c>
      <c r="G654" t="s">
        <v>20</v>
      </c>
      <c r="H654">
        <v>409</v>
      </c>
      <c r="I654" s="6"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5">
        <v>42587.208333333336</v>
      </c>
      <c r="O654" s="5">
        <v>42630.208333333336</v>
      </c>
      <c r="P654" t="b">
        <v>0</v>
      </c>
      <c r="Q654" t="b">
        <v>0</v>
      </c>
      <c r="R654" t="s">
        <v>28</v>
      </c>
      <c r="S654" t="s">
        <v>2038</v>
      </c>
      <c r="T654" t="s">
        <v>2039</v>
      </c>
    </row>
    <row r="655" spans="1:20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10"/>
        <v>2339</v>
      </c>
      <c r="G655" t="s">
        <v>20</v>
      </c>
      <c r="H655">
        <v>234</v>
      </c>
      <c r="I655" s="6"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5">
        <v>42468.208333333336</v>
      </c>
      <c r="O655" s="5">
        <v>42470.208333333336</v>
      </c>
      <c r="P655" t="b">
        <v>0</v>
      </c>
      <c r="Q655" t="b">
        <v>0</v>
      </c>
      <c r="R655" t="s">
        <v>28</v>
      </c>
      <c r="S655" t="s">
        <v>2038</v>
      </c>
      <c r="T655" t="s">
        <v>2039</v>
      </c>
    </row>
    <row r="656" spans="1:20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10"/>
        <v>508</v>
      </c>
      <c r="G656" t="s">
        <v>20</v>
      </c>
      <c r="H656">
        <v>3016</v>
      </c>
      <c r="I656" s="6"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5">
        <v>42240.208333333336</v>
      </c>
      <c r="O656" s="5">
        <v>42245.208333333336</v>
      </c>
      <c r="P656" t="b">
        <v>0</v>
      </c>
      <c r="Q656" t="b">
        <v>0</v>
      </c>
      <c r="R656" t="s">
        <v>148</v>
      </c>
      <c r="S656" t="s">
        <v>2036</v>
      </c>
      <c r="T656" t="s">
        <v>2058</v>
      </c>
    </row>
    <row r="657" spans="1:20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10"/>
        <v>191</v>
      </c>
      <c r="G657" t="s">
        <v>20</v>
      </c>
      <c r="H657">
        <v>264</v>
      </c>
      <c r="I657" s="6"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5">
        <v>42796.25</v>
      </c>
      <c r="O657" s="5">
        <v>42809.208333333336</v>
      </c>
      <c r="P657" t="b">
        <v>1</v>
      </c>
      <c r="Q657" t="b">
        <v>0</v>
      </c>
      <c r="R657" t="s">
        <v>122</v>
      </c>
      <c r="S657" t="s">
        <v>2055</v>
      </c>
      <c r="T657" t="s">
        <v>2056</v>
      </c>
    </row>
    <row r="658" spans="1:20" ht="31.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10"/>
        <v>42</v>
      </c>
      <c r="G658" t="s">
        <v>14</v>
      </c>
      <c r="H658">
        <v>504</v>
      </c>
      <c r="I658" s="6"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5">
        <v>43097.25</v>
      </c>
      <c r="O658" s="5">
        <v>43102.25</v>
      </c>
      <c r="P658" t="b">
        <v>0</v>
      </c>
      <c r="Q658" t="b">
        <v>0</v>
      </c>
      <c r="R658" t="s">
        <v>17</v>
      </c>
      <c r="S658" t="s">
        <v>2034</v>
      </c>
      <c r="T658" t="s">
        <v>2035</v>
      </c>
    </row>
    <row r="659" spans="1:20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10"/>
        <v>8</v>
      </c>
      <c r="G659" t="s">
        <v>14</v>
      </c>
      <c r="H659">
        <v>14</v>
      </c>
      <c r="I659" s="6"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5">
        <v>43096.25</v>
      </c>
      <c r="O659" s="5">
        <v>43112.25</v>
      </c>
      <c r="P659" t="b">
        <v>0</v>
      </c>
      <c r="Q659" t="b">
        <v>0</v>
      </c>
      <c r="R659" t="s">
        <v>474</v>
      </c>
      <c r="S659" t="s">
        <v>2042</v>
      </c>
      <c r="T659" t="s">
        <v>2064</v>
      </c>
    </row>
    <row r="660" spans="1:20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10"/>
        <v>60</v>
      </c>
      <c r="G660" t="s">
        <v>74</v>
      </c>
      <c r="H660">
        <v>390</v>
      </c>
      <c r="I660" s="6"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5">
        <v>42246.208333333336</v>
      </c>
      <c r="O660" s="5">
        <v>42269.208333333336</v>
      </c>
      <c r="P660" t="b">
        <v>0</v>
      </c>
      <c r="Q660" t="b">
        <v>0</v>
      </c>
      <c r="R660" t="s">
        <v>23</v>
      </c>
      <c r="S660" t="s">
        <v>2036</v>
      </c>
      <c r="T660" t="s">
        <v>2037</v>
      </c>
    </row>
    <row r="661" spans="1:20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10"/>
        <v>47</v>
      </c>
      <c r="G661" t="s">
        <v>14</v>
      </c>
      <c r="H661">
        <v>750</v>
      </c>
      <c r="I661" s="6"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5">
        <v>40570.25</v>
      </c>
      <c r="O661" s="5">
        <v>40571.25</v>
      </c>
      <c r="P661" t="b">
        <v>0</v>
      </c>
      <c r="Q661" t="b">
        <v>0</v>
      </c>
      <c r="R661" t="s">
        <v>42</v>
      </c>
      <c r="S661" t="s">
        <v>2042</v>
      </c>
      <c r="T661" t="s">
        <v>2043</v>
      </c>
    </row>
    <row r="662" spans="1:20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10"/>
        <v>82</v>
      </c>
      <c r="G662" t="s">
        <v>14</v>
      </c>
      <c r="H662">
        <v>77</v>
      </c>
      <c r="I662" s="6"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5">
        <v>42237.208333333336</v>
      </c>
      <c r="O662" s="5">
        <v>42246.208333333336</v>
      </c>
      <c r="P662" t="b">
        <v>1</v>
      </c>
      <c r="Q662" t="b">
        <v>0</v>
      </c>
      <c r="R662" t="s">
        <v>33</v>
      </c>
      <c r="S662" t="s">
        <v>2040</v>
      </c>
      <c r="T662" t="s">
        <v>2041</v>
      </c>
    </row>
    <row r="663" spans="1:20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10"/>
        <v>54</v>
      </c>
      <c r="G663" t="s">
        <v>14</v>
      </c>
      <c r="H663">
        <v>752</v>
      </c>
      <c r="I663" s="6"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5">
        <v>40996.208333333336</v>
      </c>
      <c r="O663" s="5">
        <v>41026.208333333336</v>
      </c>
      <c r="P663" t="b">
        <v>0</v>
      </c>
      <c r="Q663" t="b">
        <v>0</v>
      </c>
      <c r="R663" t="s">
        <v>159</v>
      </c>
      <c r="S663" t="s">
        <v>2036</v>
      </c>
      <c r="T663" t="s">
        <v>2059</v>
      </c>
    </row>
    <row r="664" spans="1:20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10"/>
        <v>98</v>
      </c>
      <c r="G664" t="s">
        <v>14</v>
      </c>
      <c r="H664">
        <v>131</v>
      </c>
      <c r="I664" s="6"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5">
        <v>43443.25</v>
      </c>
      <c r="O664" s="5">
        <v>43447.25</v>
      </c>
      <c r="P664" t="b">
        <v>0</v>
      </c>
      <c r="Q664" t="b">
        <v>0</v>
      </c>
      <c r="R664" t="s">
        <v>33</v>
      </c>
      <c r="S664" t="s">
        <v>2040</v>
      </c>
      <c r="T664" t="s">
        <v>2041</v>
      </c>
    </row>
    <row r="665" spans="1:20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10"/>
        <v>77</v>
      </c>
      <c r="G665" t="s">
        <v>14</v>
      </c>
      <c r="H665">
        <v>87</v>
      </c>
      <c r="I665" s="6"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5">
        <v>40458.208333333336</v>
      </c>
      <c r="O665" s="5">
        <v>40481.208333333336</v>
      </c>
      <c r="P665" t="b">
        <v>0</v>
      </c>
      <c r="Q665" t="b">
        <v>0</v>
      </c>
      <c r="R665" t="s">
        <v>33</v>
      </c>
      <c r="S665" t="s">
        <v>2040</v>
      </c>
      <c r="T665" t="s">
        <v>2041</v>
      </c>
    </row>
    <row r="666" spans="1:20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10"/>
        <v>33</v>
      </c>
      <c r="G666" t="s">
        <v>14</v>
      </c>
      <c r="H666">
        <v>1063</v>
      </c>
      <c r="I666" s="6"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5">
        <v>40959.25</v>
      </c>
      <c r="O666" s="5">
        <v>40969.25</v>
      </c>
      <c r="P666" t="b">
        <v>0</v>
      </c>
      <c r="Q666" t="b">
        <v>0</v>
      </c>
      <c r="R666" t="s">
        <v>159</v>
      </c>
      <c r="S666" t="s">
        <v>2036</v>
      </c>
      <c r="T666" t="s">
        <v>2059</v>
      </c>
    </row>
    <row r="667" spans="1:20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10"/>
        <v>240</v>
      </c>
      <c r="G667" t="s">
        <v>20</v>
      </c>
      <c r="H667">
        <v>272</v>
      </c>
      <c r="I667" s="6"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5">
        <v>40733.208333333336</v>
      </c>
      <c r="O667" s="5">
        <v>40747.208333333336</v>
      </c>
      <c r="P667" t="b">
        <v>0</v>
      </c>
      <c r="Q667" t="b">
        <v>1</v>
      </c>
      <c r="R667" t="s">
        <v>42</v>
      </c>
      <c r="S667" t="s">
        <v>2042</v>
      </c>
      <c r="T667" t="s">
        <v>2043</v>
      </c>
    </row>
    <row r="668" spans="1:20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10"/>
        <v>64</v>
      </c>
      <c r="G668" t="s">
        <v>74</v>
      </c>
      <c r="H668">
        <v>25</v>
      </c>
      <c r="I668" s="6"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5">
        <v>41516.208333333336</v>
      </c>
      <c r="O668" s="5">
        <v>41522.208333333336</v>
      </c>
      <c r="P668" t="b">
        <v>0</v>
      </c>
      <c r="Q668" t="b">
        <v>1</v>
      </c>
      <c r="R668" t="s">
        <v>33</v>
      </c>
      <c r="S668" t="s">
        <v>2040</v>
      </c>
      <c r="T668" t="s">
        <v>2041</v>
      </c>
    </row>
    <row r="669" spans="1:20" ht="31.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10"/>
        <v>176</v>
      </c>
      <c r="G669" t="s">
        <v>20</v>
      </c>
      <c r="H669">
        <v>419</v>
      </c>
      <c r="I669" s="6"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5">
        <v>41892.208333333336</v>
      </c>
      <c r="O669" s="5">
        <v>41901.208333333336</v>
      </c>
      <c r="P669" t="b">
        <v>0</v>
      </c>
      <c r="Q669" t="b">
        <v>0</v>
      </c>
      <c r="R669" t="s">
        <v>1029</v>
      </c>
      <c r="S669" t="s">
        <v>2065</v>
      </c>
      <c r="T669" t="s">
        <v>2066</v>
      </c>
    </row>
    <row r="670" spans="1:20" ht="31.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10"/>
        <v>20</v>
      </c>
      <c r="G670" t="s">
        <v>14</v>
      </c>
      <c r="H670">
        <v>76</v>
      </c>
      <c r="I670" s="6"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5">
        <v>41122.208333333336</v>
      </c>
      <c r="O670" s="5">
        <v>41134.208333333336</v>
      </c>
      <c r="P670" t="b">
        <v>0</v>
      </c>
      <c r="Q670" t="b">
        <v>0</v>
      </c>
      <c r="R670" t="s">
        <v>33</v>
      </c>
      <c r="S670" t="s">
        <v>2040</v>
      </c>
      <c r="T670" t="s">
        <v>2041</v>
      </c>
    </row>
    <row r="671" spans="1:20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10"/>
        <v>359</v>
      </c>
      <c r="G671" t="s">
        <v>20</v>
      </c>
      <c r="H671">
        <v>1621</v>
      </c>
      <c r="I671" s="6"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5">
        <v>42912.208333333336</v>
      </c>
      <c r="O671" s="5">
        <v>42921.208333333336</v>
      </c>
      <c r="P671" t="b">
        <v>0</v>
      </c>
      <c r="Q671" t="b">
        <v>0</v>
      </c>
      <c r="R671" t="s">
        <v>33</v>
      </c>
      <c r="S671" t="s">
        <v>2040</v>
      </c>
      <c r="T671" t="s">
        <v>2041</v>
      </c>
    </row>
    <row r="672" spans="1:20" ht="31.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10"/>
        <v>469</v>
      </c>
      <c r="G672" t="s">
        <v>20</v>
      </c>
      <c r="H672">
        <v>1101</v>
      </c>
      <c r="I672" s="6"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5">
        <v>42425.25</v>
      </c>
      <c r="O672" s="5">
        <v>42437.25</v>
      </c>
      <c r="P672" t="b">
        <v>0</v>
      </c>
      <c r="Q672" t="b">
        <v>0</v>
      </c>
      <c r="R672" t="s">
        <v>60</v>
      </c>
      <c r="S672" t="s">
        <v>2036</v>
      </c>
      <c r="T672" t="s">
        <v>2046</v>
      </c>
    </row>
    <row r="673" spans="1:20" ht="31.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10"/>
        <v>122</v>
      </c>
      <c r="G673" t="s">
        <v>20</v>
      </c>
      <c r="H673">
        <v>1073</v>
      </c>
      <c r="I673" s="6"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5">
        <v>40390.208333333336</v>
      </c>
      <c r="O673" s="5">
        <v>40394.208333333336</v>
      </c>
      <c r="P673" t="b">
        <v>0</v>
      </c>
      <c r="Q673" t="b">
        <v>1</v>
      </c>
      <c r="R673" t="s">
        <v>33</v>
      </c>
      <c r="S673" t="s">
        <v>2040</v>
      </c>
      <c r="T673" t="s">
        <v>2041</v>
      </c>
    </row>
    <row r="674" spans="1:20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10"/>
        <v>56</v>
      </c>
      <c r="G674" t="s">
        <v>14</v>
      </c>
      <c r="H674">
        <v>4428</v>
      </c>
      <c r="I674" s="6"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5">
        <v>43180.208333333336</v>
      </c>
      <c r="O674" s="5">
        <v>43190.208333333336</v>
      </c>
      <c r="P674" t="b">
        <v>0</v>
      </c>
      <c r="Q674" t="b">
        <v>0</v>
      </c>
      <c r="R674" t="s">
        <v>33</v>
      </c>
      <c r="S674" t="s">
        <v>2040</v>
      </c>
      <c r="T674" t="s">
        <v>2041</v>
      </c>
    </row>
    <row r="675" spans="1:20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10"/>
        <v>44</v>
      </c>
      <c r="G675" t="s">
        <v>14</v>
      </c>
      <c r="H675">
        <v>58</v>
      </c>
      <c r="I675" s="6"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5">
        <v>42475.208333333336</v>
      </c>
      <c r="O675" s="5">
        <v>42496.208333333336</v>
      </c>
      <c r="P675" t="b">
        <v>0</v>
      </c>
      <c r="Q675" t="b">
        <v>0</v>
      </c>
      <c r="R675" t="s">
        <v>60</v>
      </c>
      <c r="S675" t="s">
        <v>2036</v>
      </c>
      <c r="T675" t="s">
        <v>2046</v>
      </c>
    </row>
    <row r="676" spans="1:20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10"/>
        <v>34</v>
      </c>
      <c r="G676" t="s">
        <v>74</v>
      </c>
      <c r="H676">
        <v>1218</v>
      </c>
      <c r="I676" s="6"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5">
        <v>40774.208333333336</v>
      </c>
      <c r="O676" s="5">
        <v>40821.208333333336</v>
      </c>
      <c r="P676" t="b">
        <v>0</v>
      </c>
      <c r="Q676" t="b">
        <v>0</v>
      </c>
      <c r="R676" t="s">
        <v>122</v>
      </c>
      <c r="S676" t="s">
        <v>2055</v>
      </c>
      <c r="T676" t="s">
        <v>2056</v>
      </c>
    </row>
    <row r="677" spans="1:20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10"/>
        <v>123</v>
      </c>
      <c r="G677" t="s">
        <v>20</v>
      </c>
      <c r="H677">
        <v>331</v>
      </c>
      <c r="I677" s="6"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5">
        <v>43719.208333333336</v>
      </c>
      <c r="O677" s="5">
        <v>43726.208333333336</v>
      </c>
      <c r="P677" t="b">
        <v>0</v>
      </c>
      <c r="Q677" t="b">
        <v>0</v>
      </c>
      <c r="R677" t="s">
        <v>1029</v>
      </c>
      <c r="S677" t="s">
        <v>2065</v>
      </c>
      <c r="T677" t="s">
        <v>2066</v>
      </c>
    </row>
    <row r="678" spans="1:20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10"/>
        <v>190</v>
      </c>
      <c r="G678" t="s">
        <v>20</v>
      </c>
      <c r="H678">
        <v>1170</v>
      </c>
      <c r="I678" s="6"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5">
        <v>41178.208333333336</v>
      </c>
      <c r="O678" s="5">
        <v>41187.208333333336</v>
      </c>
      <c r="P678" t="b">
        <v>0</v>
      </c>
      <c r="Q678" t="b">
        <v>0</v>
      </c>
      <c r="R678" t="s">
        <v>122</v>
      </c>
      <c r="S678" t="s">
        <v>2055</v>
      </c>
      <c r="T678" t="s">
        <v>2056</v>
      </c>
    </row>
    <row r="679" spans="1:20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10"/>
        <v>84</v>
      </c>
      <c r="G679" t="s">
        <v>14</v>
      </c>
      <c r="H679">
        <v>111</v>
      </c>
      <c r="I679" s="6"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5">
        <v>42561.208333333336</v>
      </c>
      <c r="O679" s="5">
        <v>42611.208333333336</v>
      </c>
      <c r="P679" t="b">
        <v>0</v>
      </c>
      <c r="Q679" t="b">
        <v>0</v>
      </c>
      <c r="R679" t="s">
        <v>119</v>
      </c>
      <c r="S679" t="s">
        <v>2048</v>
      </c>
      <c r="T679" t="s">
        <v>2054</v>
      </c>
    </row>
    <row r="680" spans="1:20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10"/>
        <v>18</v>
      </c>
      <c r="G680" t="s">
        <v>74</v>
      </c>
      <c r="H680">
        <v>215</v>
      </c>
      <c r="I680" s="6"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5">
        <v>43484.25</v>
      </c>
      <c r="O680" s="5">
        <v>43486.25</v>
      </c>
      <c r="P680" t="b">
        <v>0</v>
      </c>
      <c r="Q680" t="b">
        <v>0</v>
      </c>
      <c r="R680" t="s">
        <v>53</v>
      </c>
      <c r="S680" t="s">
        <v>2042</v>
      </c>
      <c r="T680" t="s">
        <v>2045</v>
      </c>
    </row>
    <row r="681" spans="1:20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10"/>
        <v>1037</v>
      </c>
      <c r="G681" t="s">
        <v>20</v>
      </c>
      <c r="H681">
        <v>363</v>
      </c>
      <c r="I681" s="6"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5">
        <v>43756.208333333336</v>
      </c>
      <c r="O681" s="5">
        <v>43761.208333333336</v>
      </c>
      <c r="P681" t="b">
        <v>0</v>
      </c>
      <c r="Q681" t="b">
        <v>1</v>
      </c>
      <c r="R681" t="s">
        <v>17</v>
      </c>
      <c r="S681" t="s">
        <v>2034</v>
      </c>
      <c r="T681" t="s">
        <v>2035</v>
      </c>
    </row>
    <row r="682" spans="1:20" ht="31.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10"/>
        <v>97</v>
      </c>
      <c r="G682" t="s">
        <v>14</v>
      </c>
      <c r="H682">
        <v>2955</v>
      </c>
      <c r="I682" s="6"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5">
        <v>43813.25</v>
      </c>
      <c r="O682" s="5">
        <v>43815.25</v>
      </c>
      <c r="P682" t="b">
        <v>0</v>
      </c>
      <c r="Q682" t="b">
        <v>1</v>
      </c>
      <c r="R682" t="s">
        <v>292</v>
      </c>
      <c r="S682" t="s">
        <v>2051</v>
      </c>
      <c r="T682" t="s">
        <v>2062</v>
      </c>
    </row>
    <row r="683" spans="1:20" ht="31.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10"/>
        <v>86</v>
      </c>
      <c r="G683" t="s">
        <v>14</v>
      </c>
      <c r="H683">
        <v>1657</v>
      </c>
      <c r="I683" s="6"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5">
        <v>40898.25</v>
      </c>
      <c r="O683" s="5">
        <v>40904.25</v>
      </c>
      <c r="P683" t="b">
        <v>0</v>
      </c>
      <c r="Q683" t="b">
        <v>0</v>
      </c>
      <c r="R683" t="s">
        <v>33</v>
      </c>
      <c r="S683" t="s">
        <v>2040</v>
      </c>
      <c r="T683" t="s">
        <v>2041</v>
      </c>
    </row>
    <row r="684" spans="1:20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10"/>
        <v>150</v>
      </c>
      <c r="G684" t="s">
        <v>20</v>
      </c>
      <c r="H684">
        <v>103</v>
      </c>
      <c r="I684" s="6"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5">
        <v>41619.25</v>
      </c>
      <c r="O684" s="5">
        <v>41628.25</v>
      </c>
      <c r="P684" t="b">
        <v>0</v>
      </c>
      <c r="Q684" t="b">
        <v>0</v>
      </c>
      <c r="R684" t="s">
        <v>33</v>
      </c>
      <c r="S684" t="s">
        <v>2040</v>
      </c>
      <c r="T684" t="s">
        <v>2041</v>
      </c>
    </row>
    <row r="685" spans="1:20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10"/>
        <v>358</v>
      </c>
      <c r="G685" t="s">
        <v>20</v>
      </c>
      <c r="H685">
        <v>147</v>
      </c>
      <c r="I685" s="6"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5">
        <v>43359.208333333336</v>
      </c>
      <c r="O685" s="5">
        <v>43361.208333333336</v>
      </c>
      <c r="P685" t="b">
        <v>0</v>
      </c>
      <c r="Q685" t="b">
        <v>0</v>
      </c>
      <c r="R685" t="s">
        <v>33</v>
      </c>
      <c r="S685" t="s">
        <v>2040</v>
      </c>
      <c r="T685" t="s">
        <v>2041</v>
      </c>
    </row>
    <row r="686" spans="1:20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10"/>
        <v>543</v>
      </c>
      <c r="G686" t="s">
        <v>20</v>
      </c>
      <c r="H686">
        <v>110</v>
      </c>
      <c r="I686" s="6"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5">
        <v>40358.208333333336</v>
      </c>
      <c r="O686" s="5">
        <v>40378.208333333336</v>
      </c>
      <c r="P686" t="b">
        <v>0</v>
      </c>
      <c r="Q686" t="b">
        <v>0</v>
      </c>
      <c r="R686" t="s">
        <v>68</v>
      </c>
      <c r="S686" t="s">
        <v>2048</v>
      </c>
      <c r="T686" t="s">
        <v>2049</v>
      </c>
    </row>
    <row r="687" spans="1:20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10"/>
        <v>68</v>
      </c>
      <c r="G687" t="s">
        <v>14</v>
      </c>
      <c r="H687">
        <v>926</v>
      </c>
      <c r="I687" s="6"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5">
        <v>42239.208333333336</v>
      </c>
      <c r="O687" s="5">
        <v>42263.208333333336</v>
      </c>
      <c r="P687" t="b">
        <v>0</v>
      </c>
      <c r="Q687" t="b">
        <v>0</v>
      </c>
      <c r="R687" t="s">
        <v>33</v>
      </c>
      <c r="S687" t="s">
        <v>2040</v>
      </c>
      <c r="T687" t="s">
        <v>2041</v>
      </c>
    </row>
    <row r="688" spans="1:20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10"/>
        <v>192</v>
      </c>
      <c r="G688" t="s">
        <v>20</v>
      </c>
      <c r="H688">
        <v>134</v>
      </c>
      <c r="I688" s="6"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5">
        <v>43186.208333333336</v>
      </c>
      <c r="O688" s="5">
        <v>43197.208333333336</v>
      </c>
      <c r="P688" t="b">
        <v>0</v>
      </c>
      <c r="Q688" t="b">
        <v>0</v>
      </c>
      <c r="R688" t="s">
        <v>65</v>
      </c>
      <c r="S688" t="s">
        <v>2038</v>
      </c>
      <c r="T688" t="s">
        <v>2047</v>
      </c>
    </row>
    <row r="689" spans="1:20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10"/>
        <v>932</v>
      </c>
      <c r="G689" t="s">
        <v>20</v>
      </c>
      <c r="H689">
        <v>269</v>
      </c>
      <c r="I689" s="6"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5">
        <v>42806.25</v>
      </c>
      <c r="O689" s="5">
        <v>42809.208333333336</v>
      </c>
      <c r="P689" t="b">
        <v>0</v>
      </c>
      <c r="Q689" t="b">
        <v>0</v>
      </c>
      <c r="R689" t="s">
        <v>33</v>
      </c>
      <c r="S689" t="s">
        <v>2040</v>
      </c>
      <c r="T689" t="s">
        <v>2041</v>
      </c>
    </row>
    <row r="690" spans="1:20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10"/>
        <v>429</v>
      </c>
      <c r="G690" t="s">
        <v>20</v>
      </c>
      <c r="H690">
        <v>175</v>
      </c>
      <c r="I690" s="6"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5">
        <v>43475.25</v>
      </c>
      <c r="O690" s="5">
        <v>43491.25</v>
      </c>
      <c r="P690" t="b">
        <v>0</v>
      </c>
      <c r="Q690" t="b">
        <v>1</v>
      </c>
      <c r="R690" t="s">
        <v>269</v>
      </c>
      <c r="S690" t="s">
        <v>2042</v>
      </c>
      <c r="T690" t="s">
        <v>2061</v>
      </c>
    </row>
    <row r="691" spans="1:20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10"/>
        <v>101</v>
      </c>
      <c r="G691" t="s">
        <v>20</v>
      </c>
      <c r="H691">
        <v>69</v>
      </c>
      <c r="I691" s="6"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5">
        <v>41576.208333333336</v>
      </c>
      <c r="O691" s="5">
        <v>41588.25</v>
      </c>
      <c r="P691" t="b">
        <v>0</v>
      </c>
      <c r="Q691" t="b">
        <v>0</v>
      </c>
      <c r="R691" t="s">
        <v>28</v>
      </c>
      <c r="S691" t="s">
        <v>2038</v>
      </c>
      <c r="T691" t="s">
        <v>2039</v>
      </c>
    </row>
    <row r="692" spans="1:20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10"/>
        <v>227</v>
      </c>
      <c r="G692" t="s">
        <v>20</v>
      </c>
      <c r="H692">
        <v>190</v>
      </c>
      <c r="I692" s="6"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5">
        <v>40874.25</v>
      </c>
      <c r="O692" s="5">
        <v>40880.25</v>
      </c>
      <c r="P692" t="b">
        <v>0</v>
      </c>
      <c r="Q692" t="b">
        <v>1</v>
      </c>
      <c r="R692" t="s">
        <v>42</v>
      </c>
      <c r="S692" t="s">
        <v>2042</v>
      </c>
      <c r="T692" t="s">
        <v>2043</v>
      </c>
    </row>
    <row r="693" spans="1:20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10"/>
        <v>142</v>
      </c>
      <c r="G693" t="s">
        <v>20</v>
      </c>
      <c r="H693">
        <v>237</v>
      </c>
      <c r="I693" s="6"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5">
        <v>41185.208333333336</v>
      </c>
      <c r="O693" s="5">
        <v>41202.208333333336</v>
      </c>
      <c r="P693" t="b">
        <v>1</v>
      </c>
      <c r="Q693" t="b">
        <v>1</v>
      </c>
      <c r="R693" t="s">
        <v>42</v>
      </c>
      <c r="S693" t="s">
        <v>2042</v>
      </c>
      <c r="T693" t="s">
        <v>2043</v>
      </c>
    </row>
    <row r="694" spans="1:20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10"/>
        <v>91</v>
      </c>
      <c r="G694" t="s">
        <v>14</v>
      </c>
      <c r="H694">
        <v>77</v>
      </c>
      <c r="I694" s="6"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5">
        <v>43655.208333333336</v>
      </c>
      <c r="O694" s="5">
        <v>43673.208333333336</v>
      </c>
      <c r="P694" t="b">
        <v>0</v>
      </c>
      <c r="Q694" t="b">
        <v>0</v>
      </c>
      <c r="R694" t="s">
        <v>23</v>
      </c>
      <c r="S694" t="s">
        <v>2036</v>
      </c>
      <c r="T694" t="s">
        <v>2037</v>
      </c>
    </row>
    <row r="695" spans="1:20" ht="31.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10"/>
        <v>64</v>
      </c>
      <c r="G695" t="s">
        <v>14</v>
      </c>
      <c r="H695">
        <v>1748</v>
      </c>
      <c r="I695" s="6"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5">
        <v>43025.208333333336</v>
      </c>
      <c r="O695" s="5">
        <v>43042.208333333336</v>
      </c>
      <c r="P695" t="b">
        <v>0</v>
      </c>
      <c r="Q695" t="b">
        <v>0</v>
      </c>
      <c r="R695" t="s">
        <v>33</v>
      </c>
      <c r="S695" t="s">
        <v>2040</v>
      </c>
      <c r="T695" t="s">
        <v>2041</v>
      </c>
    </row>
    <row r="696" spans="1:20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10"/>
        <v>84</v>
      </c>
      <c r="G696" t="s">
        <v>14</v>
      </c>
      <c r="H696">
        <v>79</v>
      </c>
      <c r="I696" s="6"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5">
        <v>43066.25</v>
      </c>
      <c r="O696" s="5">
        <v>43103.25</v>
      </c>
      <c r="P696" t="b">
        <v>0</v>
      </c>
      <c r="Q696" t="b">
        <v>0</v>
      </c>
      <c r="R696" t="s">
        <v>33</v>
      </c>
      <c r="S696" t="s">
        <v>2040</v>
      </c>
      <c r="T696" t="s">
        <v>2041</v>
      </c>
    </row>
    <row r="697" spans="1:20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10"/>
        <v>134</v>
      </c>
      <c r="G697" t="s">
        <v>20</v>
      </c>
      <c r="H697">
        <v>196</v>
      </c>
      <c r="I697" s="6"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5">
        <v>42322.25</v>
      </c>
      <c r="O697" s="5">
        <v>42338.25</v>
      </c>
      <c r="P697" t="b">
        <v>1</v>
      </c>
      <c r="Q697" t="b">
        <v>0</v>
      </c>
      <c r="R697" t="s">
        <v>23</v>
      </c>
      <c r="S697" t="s">
        <v>2036</v>
      </c>
      <c r="T697" t="s">
        <v>2037</v>
      </c>
    </row>
    <row r="698" spans="1:20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10"/>
        <v>59</v>
      </c>
      <c r="G698" t="s">
        <v>14</v>
      </c>
      <c r="H698">
        <v>889</v>
      </c>
      <c r="I698" s="6"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5">
        <v>42114.208333333336</v>
      </c>
      <c r="O698" s="5">
        <v>42115.208333333336</v>
      </c>
      <c r="P698" t="b">
        <v>0</v>
      </c>
      <c r="Q698" t="b">
        <v>1</v>
      </c>
      <c r="R698" t="s">
        <v>33</v>
      </c>
      <c r="S698" t="s">
        <v>2040</v>
      </c>
      <c r="T698" t="s">
        <v>2041</v>
      </c>
    </row>
    <row r="699" spans="1:20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10"/>
        <v>153</v>
      </c>
      <c r="G699" t="s">
        <v>20</v>
      </c>
      <c r="H699">
        <v>7295</v>
      </c>
      <c r="I699" s="6"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5">
        <v>43190.208333333336</v>
      </c>
      <c r="O699" s="5">
        <v>43192.208333333336</v>
      </c>
      <c r="P699" t="b">
        <v>0</v>
      </c>
      <c r="Q699" t="b">
        <v>0</v>
      </c>
      <c r="R699" t="s">
        <v>50</v>
      </c>
      <c r="S699" t="s">
        <v>2036</v>
      </c>
      <c r="T699" t="s">
        <v>2044</v>
      </c>
    </row>
    <row r="700" spans="1:20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10"/>
        <v>447</v>
      </c>
      <c r="G700" t="s">
        <v>20</v>
      </c>
      <c r="H700">
        <v>2893</v>
      </c>
      <c r="I700" s="6"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5">
        <v>40871.25</v>
      </c>
      <c r="O700" s="5">
        <v>40885.25</v>
      </c>
      <c r="P700" t="b">
        <v>0</v>
      </c>
      <c r="Q700" t="b">
        <v>0</v>
      </c>
      <c r="R700" t="s">
        <v>65</v>
      </c>
      <c r="S700" t="s">
        <v>2038</v>
      </c>
      <c r="T700" t="s">
        <v>2047</v>
      </c>
    </row>
    <row r="701" spans="1:20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10"/>
        <v>84</v>
      </c>
      <c r="G701" t="s">
        <v>14</v>
      </c>
      <c r="H701">
        <v>56</v>
      </c>
      <c r="I701" s="6"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5">
        <v>43641.208333333336</v>
      </c>
      <c r="O701" s="5">
        <v>43642.208333333336</v>
      </c>
      <c r="P701" t="b">
        <v>0</v>
      </c>
      <c r="Q701" t="b">
        <v>0</v>
      </c>
      <c r="R701" t="s">
        <v>53</v>
      </c>
      <c r="S701" t="s">
        <v>2042</v>
      </c>
      <c r="T701" t="s">
        <v>2045</v>
      </c>
    </row>
    <row r="702" spans="1:20" ht="31.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10"/>
        <v>3</v>
      </c>
      <c r="G702" t="s">
        <v>14</v>
      </c>
      <c r="H702">
        <v>1</v>
      </c>
      <c r="I702" s="6">
        <v>3</v>
      </c>
      <c r="J702" t="s">
        <v>21</v>
      </c>
      <c r="K702" t="s">
        <v>22</v>
      </c>
      <c r="L702">
        <v>1264399200</v>
      </c>
      <c r="M702">
        <v>1265695200</v>
      </c>
      <c r="N702" s="5">
        <v>40203.25</v>
      </c>
      <c r="O702" s="5">
        <v>40218.25</v>
      </c>
      <c r="P702" t="b">
        <v>0</v>
      </c>
      <c r="Q702" t="b">
        <v>0</v>
      </c>
      <c r="R702" t="s">
        <v>65</v>
      </c>
      <c r="S702" t="s">
        <v>2038</v>
      </c>
      <c r="T702" t="s">
        <v>2047</v>
      </c>
    </row>
    <row r="703" spans="1:20" ht="31.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10"/>
        <v>175</v>
      </c>
      <c r="G703" t="s">
        <v>20</v>
      </c>
      <c r="H703">
        <v>820</v>
      </c>
      <c r="I703" s="6"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5">
        <v>40629.208333333336</v>
      </c>
      <c r="O703" s="5">
        <v>40636.208333333336</v>
      </c>
      <c r="P703" t="b">
        <v>1</v>
      </c>
      <c r="Q703" t="b">
        <v>0</v>
      </c>
      <c r="R703" t="s">
        <v>33</v>
      </c>
      <c r="S703" t="s">
        <v>2040</v>
      </c>
      <c r="T703" t="s">
        <v>2041</v>
      </c>
    </row>
    <row r="704" spans="1:20" ht="31.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10"/>
        <v>54</v>
      </c>
      <c r="G704" t="s">
        <v>14</v>
      </c>
      <c r="H704">
        <v>83</v>
      </c>
      <c r="I704" s="6"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5">
        <v>41477.208333333336</v>
      </c>
      <c r="O704" s="5">
        <v>41482.208333333336</v>
      </c>
      <c r="P704" t="b">
        <v>0</v>
      </c>
      <c r="Q704" t="b">
        <v>0</v>
      </c>
      <c r="R704" t="s">
        <v>65</v>
      </c>
      <c r="S704" t="s">
        <v>2038</v>
      </c>
      <c r="T704" t="s">
        <v>2047</v>
      </c>
    </row>
    <row r="705" spans="1:20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10"/>
        <v>312</v>
      </c>
      <c r="G705" t="s">
        <v>20</v>
      </c>
      <c r="H705">
        <v>2038</v>
      </c>
      <c r="I705" s="6"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5">
        <v>41020.208333333336</v>
      </c>
      <c r="O705" s="5">
        <v>41037.208333333336</v>
      </c>
      <c r="P705" t="b">
        <v>1</v>
      </c>
      <c r="Q705" t="b">
        <v>1</v>
      </c>
      <c r="R705" t="s">
        <v>206</v>
      </c>
      <c r="S705" t="s">
        <v>2048</v>
      </c>
      <c r="T705" t="s">
        <v>2060</v>
      </c>
    </row>
    <row r="706" spans="1:20" ht="31.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10"/>
        <v>123</v>
      </c>
      <c r="G706" t="s">
        <v>20</v>
      </c>
      <c r="H706">
        <v>116</v>
      </c>
      <c r="I706" s="6"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5">
        <v>42555.208333333336</v>
      </c>
      <c r="O706" s="5">
        <v>42570.208333333336</v>
      </c>
      <c r="P706" t="b">
        <v>0</v>
      </c>
      <c r="Q706" t="b">
        <v>0</v>
      </c>
      <c r="R706" t="s">
        <v>71</v>
      </c>
      <c r="S706" t="s">
        <v>2042</v>
      </c>
      <c r="T706" t="s">
        <v>2050</v>
      </c>
    </row>
    <row r="707" spans="1:20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si="10"/>
        <v>99</v>
      </c>
      <c r="G707" t="s">
        <v>14</v>
      </c>
      <c r="H707">
        <v>2025</v>
      </c>
      <c r="I707" s="6"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5">
        <v>41619.25</v>
      </c>
      <c r="O707" s="5">
        <v>41623.25</v>
      </c>
      <c r="P707" t="b">
        <v>0</v>
      </c>
      <c r="Q707" t="b">
        <v>0</v>
      </c>
      <c r="R707" t="s">
        <v>68</v>
      </c>
      <c r="S707" t="s">
        <v>2048</v>
      </c>
      <c r="T707" t="s">
        <v>2049</v>
      </c>
    </row>
    <row r="708" spans="1:20" ht="31.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ref="F708:F771" si="11">ROUND(E708/D708*100,0)</f>
        <v>128</v>
      </c>
      <c r="G708" t="s">
        <v>20</v>
      </c>
      <c r="H708">
        <v>1345</v>
      </c>
      <c r="I708" s="6"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5">
        <v>43471.25</v>
      </c>
      <c r="O708" s="5">
        <v>43479.25</v>
      </c>
      <c r="P708" t="b">
        <v>0</v>
      </c>
      <c r="Q708" t="b">
        <v>1</v>
      </c>
      <c r="R708" t="s">
        <v>28</v>
      </c>
      <c r="S708" t="s">
        <v>2038</v>
      </c>
      <c r="T708" t="s">
        <v>2039</v>
      </c>
    </row>
    <row r="709" spans="1:20" ht="31.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11"/>
        <v>159</v>
      </c>
      <c r="G709" t="s">
        <v>20</v>
      </c>
      <c r="H709">
        <v>168</v>
      </c>
      <c r="I709" s="6"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5">
        <v>43442.25</v>
      </c>
      <c r="O709" s="5">
        <v>43478.25</v>
      </c>
      <c r="P709" t="b">
        <v>0</v>
      </c>
      <c r="Q709" t="b">
        <v>0</v>
      </c>
      <c r="R709" t="s">
        <v>53</v>
      </c>
      <c r="S709" t="s">
        <v>2042</v>
      </c>
      <c r="T709" t="s">
        <v>2045</v>
      </c>
    </row>
    <row r="710" spans="1:20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11"/>
        <v>707</v>
      </c>
      <c r="G710" t="s">
        <v>20</v>
      </c>
      <c r="H710">
        <v>137</v>
      </c>
      <c r="I710" s="6"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5">
        <v>42877.208333333336</v>
      </c>
      <c r="O710" s="5">
        <v>42887.208333333336</v>
      </c>
      <c r="P710" t="b">
        <v>0</v>
      </c>
      <c r="Q710" t="b">
        <v>0</v>
      </c>
      <c r="R710" t="s">
        <v>33</v>
      </c>
      <c r="S710" t="s">
        <v>2040</v>
      </c>
      <c r="T710" t="s">
        <v>2041</v>
      </c>
    </row>
    <row r="711" spans="1:20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11"/>
        <v>142</v>
      </c>
      <c r="G711" t="s">
        <v>20</v>
      </c>
      <c r="H711">
        <v>186</v>
      </c>
      <c r="I711" s="6"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5">
        <v>41018.208333333336</v>
      </c>
      <c r="O711" s="5">
        <v>41025.208333333336</v>
      </c>
      <c r="P711" t="b">
        <v>0</v>
      </c>
      <c r="Q711" t="b">
        <v>0</v>
      </c>
      <c r="R711" t="s">
        <v>33</v>
      </c>
      <c r="S711" t="s">
        <v>2040</v>
      </c>
      <c r="T711" t="s">
        <v>2041</v>
      </c>
    </row>
    <row r="712" spans="1:20" ht="31.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11"/>
        <v>148</v>
      </c>
      <c r="G712" t="s">
        <v>20</v>
      </c>
      <c r="H712">
        <v>125</v>
      </c>
      <c r="I712" s="6"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5">
        <v>43295.208333333336</v>
      </c>
      <c r="O712" s="5">
        <v>43302.208333333336</v>
      </c>
      <c r="P712" t="b">
        <v>0</v>
      </c>
      <c r="Q712" t="b">
        <v>1</v>
      </c>
      <c r="R712" t="s">
        <v>33</v>
      </c>
      <c r="S712" t="s">
        <v>2040</v>
      </c>
      <c r="T712" t="s">
        <v>2041</v>
      </c>
    </row>
    <row r="713" spans="1:20" ht="31.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11"/>
        <v>20</v>
      </c>
      <c r="G713" t="s">
        <v>14</v>
      </c>
      <c r="H713">
        <v>14</v>
      </c>
      <c r="I713" s="6">
        <v>90</v>
      </c>
      <c r="J713" t="s">
        <v>107</v>
      </c>
      <c r="K713" t="s">
        <v>108</v>
      </c>
      <c r="L713">
        <v>1453615200</v>
      </c>
      <c r="M713">
        <v>1453788000</v>
      </c>
      <c r="N713" s="5">
        <v>42393.25</v>
      </c>
      <c r="O713" s="5">
        <v>42395.25</v>
      </c>
      <c r="P713" t="b">
        <v>1</v>
      </c>
      <c r="Q713" t="b">
        <v>1</v>
      </c>
      <c r="R713" t="s">
        <v>33</v>
      </c>
      <c r="S713" t="s">
        <v>2040</v>
      </c>
      <c r="T713" t="s">
        <v>2041</v>
      </c>
    </row>
    <row r="714" spans="1:20" ht="31.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11"/>
        <v>1841</v>
      </c>
      <c r="G714" t="s">
        <v>20</v>
      </c>
      <c r="H714">
        <v>202</v>
      </c>
      <c r="I714" s="6"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5">
        <v>42559.208333333336</v>
      </c>
      <c r="O714" s="5">
        <v>42600.208333333336</v>
      </c>
      <c r="P714" t="b">
        <v>0</v>
      </c>
      <c r="Q714" t="b">
        <v>0</v>
      </c>
      <c r="R714" t="s">
        <v>33</v>
      </c>
      <c r="S714" t="s">
        <v>2040</v>
      </c>
      <c r="T714" t="s">
        <v>2041</v>
      </c>
    </row>
    <row r="715" spans="1:20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11"/>
        <v>162</v>
      </c>
      <c r="G715" t="s">
        <v>20</v>
      </c>
      <c r="H715">
        <v>103</v>
      </c>
      <c r="I715" s="6"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5">
        <v>42604.208333333336</v>
      </c>
      <c r="O715" s="5">
        <v>42616.208333333336</v>
      </c>
      <c r="P715" t="b">
        <v>0</v>
      </c>
      <c r="Q715" t="b">
        <v>0</v>
      </c>
      <c r="R715" t="s">
        <v>133</v>
      </c>
      <c r="S715" t="s">
        <v>2048</v>
      </c>
      <c r="T715" t="s">
        <v>2057</v>
      </c>
    </row>
    <row r="716" spans="1:20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11"/>
        <v>473</v>
      </c>
      <c r="G716" t="s">
        <v>20</v>
      </c>
      <c r="H716">
        <v>1785</v>
      </c>
      <c r="I716" s="6"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5">
        <v>41870.208333333336</v>
      </c>
      <c r="O716" s="5">
        <v>41871.208333333336</v>
      </c>
      <c r="P716" t="b">
        <v>0</v>
      </c>
      <c r="Q716" t="b">
        <v>0</v>
      </c>
      <c r="R716" t="s">
        <v>23</v>
      </c>
      <c r="S716" t="s">
        <v>2036</v>
      </c>
      <c r="T716" t="s">
        <v>2037</v>
      </c>
    </row>
    <row r="717" spans="1:20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11"/>
        <v>24</v>
      </c>
      <c r="G717" t="s">
        <v>14</v>
      </c>
      <c r="H717">
        <v>656</v>
      </c>
      <c r="I717" s="6"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5">
        <v>40397.208333333336</v>
      </c>
      <c r="O717" s="5">
        <v>40402.208333333336</v>
      </c>
      <c r="P717" t="b">
        <v>0</v>
      </c>
      <c r="Q717" t="b">
        <v>0</v>
      </c>
      <c r="R717" t="s">
        <v>292</v>
      </c>
      <c r="S717" t="s">
        <v>2051</v>
      </c>
      <c r="T717" t="s">
        <v>2062</v>
      </c>
    </row>
    <row r="718" spans="1:20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11"/>
        <v>518</v>
      </c>
      <c r="G718" t="s">
        <v>20</v>
      </c>
      <c r="H718">
        <v>157</v>
      </c>
      <c r="I718" s="6"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5">
        <v>41465.208333333336</v>
      </c>
      <c r="O718" s="5">
        <v>41493.208333333336</v>
      </c>
      <c r="P718" t="b">
        <v>0</v>
      </c>
      <c r="Q718" t="b">
        <v>1</v>
      </c>
      <c r="R718" t="s">
        <v>33</v>
      </c>
      <c r="S718" t="s">
        <v>2040</v>
      </c>
      <c r="T718" t="s">
        <v>2041</v>
      </c>
    </row>
    <row r="719" spans="1:20" ht="31.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11"/>
        <v>248</v>
      </c>
      <c r="G719" t="s">
        <v>20</v>
      </c>
      <c r="H719">
        <v>555</v>
      </c>
      <c r="I719" s="6"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5">
        <v>40777.208333333336</v>
      </c>
      <c r="O719" s="5">
        <v>40798.208333333336</v>
      </c>
      <c r="P719" t="b">
        <v>0</v>
      </c>
      <c r="Q719" t="b">
        <v>0</v>
      </c>
      <c r="R719" t="s">
        <v>42</v>
      </c>
      <c r="S719" t="s">
        <v>2042</v>
      </c>
      <c r="T719" t="s">
        <v>2043</v>
      </c>
    </row>
    <row r="720" spans="1:20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11"/>
        <v>100</v>
      </c>
      <c r="G720" t="s">
        <v>20</v>
      </c>
      <c r="H720">
        <v>297</v>
      </c>
      <c r="I720" s="6"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5">
        <v>41442.208333333336</v>
      </c>
      <c r="O720" s="5">
        <v>41468.208333333336</v>
      </c>
      <c r="P720" t="b">
        <v>0</v>
      </c>
      <c r="Q720" t="b">
        <v>0</v>
      </c>
      <c r="R720" t="s">
        <v>65</v>
      </c>
      <c r="S720" t="s">
        <v>2038</v>
      </c>
      <c r="T720" t="s">
        <v>2047</v>
      </c>
    </row>
    <row r="721" spans="1:20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11"/>
        <v>153</v>
      </c>
      <c r="G721" t="s">
        <v>20</v>
      </c>
      <c r="H721">
        <v>123</v>
      </c>
      <c r="I721" s="6"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5">
        <v>41058.208333333336</v>
      </c>
      <c r="O721" s="5">
        <v>41069.208333333336</v>
      </c>
      <c r="P721" t="b">
        <v>0</v>
      </c>
      <c r="Q721" t="b">
        <v>0</v>
      </c>
      <c r="R721" t="s">
        <v>119</v>
      </c>
      <c r="S721" t="s">
        <v>2048</v>
      </c>
      <c r="T721" t="s">
        <v>2054</v>
      </c>
    </row>
    <row r="722" spans="1:20" ht="31.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11"/>
        <v>37</v>
      </c>
      <c r="G722" t="s">
        <v>74</v>
      </c>
      <c r="H722">
        <v>38</v>
      </c>
      <c r="I722" s="6"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5">
        <v>43152.25</v>
      </c>
      <c r="O722" s="5">
        <v>43166.25</v>
      </c>
      <c r="P722" t="b">
        <v>0</v>
      </c>
      <c r="Q722" t="b">
        <v>1</v>
      </c>
      <c r="R722" t="s">
        <v>33</v>
      </c>
      <c r="S722" t="s">
        <v>2040</v>
      </c>
      <c r="T722" t="s">
        <v>2041</v>
      </c>
    </row>
    <row r="723" spans="1:20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11"/>
        <v>4</v>
      </c>
      <c r="G723" t="s">
        <v>74</v>
      </c>
      <c r="H723">
        <v>60</v>
      </c>
      <c r="I723" s="6"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5">
        <v>43194.208333333336</v>
      </c>
      <c r="O723" s="5">
        <v>43200.208333333336</v>
      </c>
      <c r="P723" t="b">
        <v>0</v>
      </c>
      <c r="Q723" t="b">
        <v>0</v>
      </c>
      <c r="R723" t="s">
        <v>23</v>
      </c>
      <c r="S723" t="s">
        <v>2036</v>
      </c>
      <c r="T723" t="s">
        <v>2037</v>
      </c>
    </row>
    <row r="724" spans="1:20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11"/>
        <v>157</v>
      </c>
      <c r="G724" t="s">
        <v>20</v>
      </c>
      <c r="H724">
        <v>3036</v>
      </c>
      <c r="I724" s="6"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5">
        <v>43045.25</v>
      </c>
      <c r="O724" s="5">
        <v>43072.25</v>
      </c>
      <c r="P724" t="b">
        <v>0</v>
      </c>
      <c r="Q724" t="b">
        <v>0</v>
      </c>
      <c r="R724" t="s">
        <v>42</v>
      </c>
      <c r="S724" t="s">
        <v>2042</v>
      </c>
      <c r="T724" t="s">
        <v>2043</v>
      </c>
    </row>
    <row r="725" spans="1:20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11"/>
        <v>270</v>
      </c>
      <c r="G725" t="s">
        <v>20</v>
      </c>
      <c r="H725">
        <v>144</v>
      </c>
      <c r="I725" s="6"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5">
        <v>42431.25</v>
      </c>
      <c r="O725" s="5">
        <v>42452.208333333336</v>
      </c>
      <c r="P725" t="b">
        <v>0</v>
      </c>
      <c r="Q725" t="b">
        <v>0</v>
      </c>
      <c r="R725" t="s">
        <v>33</v>
      </c>
      <c r="S725" t="s">
        <v>2040</v>
      </c>
      <c r="T725" t="s">
        <v>2041</v>
      </c>
    </row>
    <row r="726" spans="1:20" ht="31.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11"/>
        <v>134</v>
      </c>
      <c r="G726" t="s">
        <v>20</v>
      </c>
      <c r="H726">
        <v>121</v>
      </c>
      <c r="I726" s="6"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5">
        <v>41934.208333333336</v>
      </c>
      <c r="O726" s="5">
        <v>41936.208333333336</v>
      </c>
      <c r="P726" t="b">
        <v>0</v>
      </c>
      <c r="Q726" t="b">
        <v>1</v>
      </c>
      <c r="R726" t="s">
        <v>33</v>
      </c>
      <c r="S726" t="s">
        <v>2040</v>
      </c>
      <c r="T726" t="s">
        <v>2041</v>
      </c>
    </row>
    <row r="727" spans="1:20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11"/>
        <v>50</v>
      </c>
      <c r="G727" t="s">
        <v>14</v>
      </c>
      <c r="H727">
        <v>1596</v>
      </c>
      <c r="I727" s="6"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5">
        <v>41958.25</v>
      </c>
      <c r="O727" s="5">
        <v>41960.25</v>
      </c>
      <c r="P727" t="b">
        <v>0</v>
      </c>
      <c r="Q727" t="b">
        <v>0</v>
      </c>
      <c r="R727" t="s">
        <v>292</v>
      </c>
      <c r="S727" t="s">
        <v>2051</v>
      </c>
      <c r="T727" t="s">
        <v>2062</v>
      </c>
    </row>
    <row r="728" spans="1:20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11"/>
        <v>89</v>
      </c>
      <c r="G728" t="s">
        <v>74</v>
      </c>
      <c r="H728">
        <v>524</v>
      </c>
      <c r="I728" s="6"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5">
        <v>40476.208333333336</v>
      </c>
      <c r="O728" s="5">
        <v>40482.208333333336</v>
      </c>
      <c r="P728" t="b">
        <v>0</v>
      </c>
      <c r="Q728" t="b">
        <v>1</v>
      </c>
      <c r="R728" t="s">
        <v>33</v>
      </c>
      <c r="S728" t="s">
        <v>2040</v>
      </c>
      <c r="T728" t="s">
        <v>2041</v>
      </c>
    </row>
    <row r="729" spans="1:20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11"/>
        <v>165</v>
      </c>
      <c r="G729" t="s">
        <v>20</v>
      </c>
      <c r="H729">
        <v>181</v>
      </c>
      <c r="I729" s="6"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5">
        <v>43485.25</v>
      </c>
      <c r="O729" s="5">
        <v>43543.208333333336</v>
      </c>
      <c r="P729" t="b">
        <v>0</v>
      </c>
      <c r="Q729" t="b">
        <v>0</v>
      </c>
      <c r="R729" t="s">
        <v>28</v>
      </c>
      <c r="S729" t="s">
        <v>2038</v>
      </c>
      <c r="T729" t="s">
        <v>2039</v>
      </c>
    </row>
    <row r="730" spans="1:20" ht="31.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11"/>
        <v>18</v>
      </c>
      <c r="G730" t="s">
        <v>14</v>
      </c>
      <c r="H730">
        <v>10</v>
      </c>
      <c r="I730" s="6">
        <v>73.5</v>
      </c>
      <c r="J730" t="s">
        <v>21</v>
      </c>
      <c r="K730" t="s">
        <v>22</v>
      </c>
      <c r="L730">
        <v>1464152400</v>
      </c>
      <c r="M730">
        <v>1465102800</v>
      </c>
      <c r="N730" s="5">
        <v>42515.208333333336</v>
      </c>
      <c r="O730" s="5">
        <v>42526.208333333336</v>
      </c>
      <c r="P730" t="b">
        <v>0</v>
      </c>
      <c r="Q730" t="b">
        <v>0</v>
      </c>
      <c r="R730" t="s">
        <v>33</v>
      </c>
      <c r="S730" t="s">
        <v>2040</v>
      </c>
      <c r="T730" t="s">
        <v>2041</v>
      </c>
    </row>
    <row r="731" spans="1:20" ht="31.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11"/>
        <v>186</v>
      </c>
      <c r="G731" t="s">
        <v>20</v>
      </c>
      <c r="H731">
        <v>122</v>
      </c>
      <c r="I731" s="6"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5">
        <v>41309.25</v>
      </c>
      <c r="O731" s="5">
        <v>41311.25</v>
      </c>
      <c r="P731" t="b">
        <v>0</v>
      </c>
      <c r="Q731" t="b">
        <v>0</v>
      </c>
      <c r="R731" t="s">
        <v>53</v>
      </c>
      <c r="S731" t="s">
        <v>2042</v>
      </c>
      <c r="T731" t="s">
        <v>2045</v>
      </c>
    </row>
    <row r="732" spans="1:20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11"/>
        <v>413</v>
      </c>
      <c r="G732" t="s">
        <v>20</v>
      </c>
      <c r="H732">
        <v>1071</v>
      </c>
      <c r="I732" s="6"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5">
        <v>42147.208333333336</v>
      </c>
      <c r="O732" s="5">
        <v>42153.208333333336</v>
      </c>
      <c r="P732" t="b">
        <v>0</v>
      </c>
      <c r="Q732" t="b">
        <v>0</v>
      </c>
      <c r="R732" t="s">
        <v>65</v>
      </c>
      <c r="S732" t="s">
        <v>2038</v>
      </c>
      <c r="T732" t="s">
        <v>2047</v>
      </c>
    </row>
    <row r="733" spans="1:20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11"/>
        <v>90</v>
      </c>
      <c r="G733" t="s">
        <v>74</v>
      </c>
      <c r="H733">
        <v>219</v>
      </c>
      <c r="I733" s="6"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5">
        <v>42939.208333333336</v>
      </c>
      <c r="O733" s="5">
        <v>42940.208333333336</v>
      </c>
      <c r="P733" t="b">
        <v>0</v>
      </c>
      <c r="Q733" t="b">
        <v>0</v>
      </c>
      <c r="R733" t="s">
        <v>28</v>
      </c>
      <c r="S733" t="s">
        <v>2038</v>
      </c>
      <c r="T733" t="s">
        <v>2039</v>
      </c>
    </row>
    <row r="734" spans="1:20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11"/>
        <v>92</v>
      </c>
      <c r="G734" t="s">
        <v>14</v>
      </c>
      <c r="H734">
        <v>1121</v>
      </c>
      <c r="I734" s="6"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5">
        <v>42816.208333333336</v>
      </c>
      <c r="O734" s="5">
        <v>42839.208333333336</v>
      </c>
      <c r="P734" t="b">
        <v>0</v>
      </c>
      <c r="Q734" t="b">
        <v>1</v>
      </c>
      <c r="R734" t="s">
        <v>23</v>
      </c>
      <c r="S734" t="s">
        <v>2036</v>
      </c>
      <c r="T734" t="s">
        <v>2037</v>
      </c>
    </row>
    <row r="735" spans="1:20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11"/>
        <v>527</v>
      </c>
      <c r="G735" t="s">
        <v>20</v>
      </c>
      <c r="H735">
        <v>980</v>
      </c>
      <c r="I735" s="6"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5">
        <v>41844.208333333336</v>
      </c>
      <c r="O735" s="5">
        <v>41857.208333333336</v>
      </c>
      <c r="P735" t="b">
        <v>0</v>
      </c>
      <c r="Q735" t="b">
        <v>0</v>
      </c>
      <c r="R735" t="s">
        <v>148</v>
      </c>
      <c r="S735" t="s">
        <v>2036</v>
      </c>
      <c r="T735" t="s">
        <v>2058</v>
      </c>
    </row>
    <row r="736" spans="1:20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11"/>
        <v>319</v>
      </c>
      <c r="G736" t="s">
        <v>20</v>
      </c>
      <c r="H736">
        <v>536</v>
      </c>
      <c r="I736" s="6"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5">
        <v>42763.25</v>
      </c>
      <c r="O736" s="5">
        <v>42775.25</v>
      </c>
      <c r="P736" t="b">
        <v>0</v>
      </c>
      <c r="Q736" t="b">
        <v>1</v>
      </c>
      <c r="R736" t="s">
        <v>33</v>
      </c>
      <c r="S736" t="s">
        <v>2040</v>
      </c>
      <c r="T736" t="s">
        <v>2041</v>
      </c>
    </row>
    <row r="737" spans="1:20" ht="31.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11"/>
        <v>354</v>
      </c>
      <c r="G737" t="s">
        <v>20</v>
      </c>
      <c r="H737">
        <v>1991</v>
      </c>
      <c r="I737" s="6"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5">
        <v>42459.208333333336</v>
      </c>
      <c r="O737" s="5">
        <v>42466.208333333336</v>
      </c>
      <c r="P737" t="b">
        <v>0</v>
      </c>
      <c r="Q737" t="b">
        <v>0</v>
      </c>
      <c r="R737" t="s">
        <v>122</v>
      </c>
      <c r="S737" t="s">
        <v>2055</v>
      </c>
      <c r="T737" t="s">
        <v>2056</v>
      </c>
    </row>
    <row r="738" spans="1:20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11"/>
        <v>33</v>
      </c>
      <c r="G738" t="s">
        <v>74</v>
      </c>
      <c r="H738">
        <v>29</v>
      </c>
      <c r="I738" s="6"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5">
        <v>42055.25</v>
      </c>
      <c r="O738" s="5">
        <v>42059.25</v>
      </c>
      <c r="P738" t="b">
        <v>0</v>
      </c>
      <c r="Q738" t="b">
        <v>0</v>
      </c>
      <c r="R738" t="s">
        <v>68</v>
      </c>
      <c r="S738" t="s">
        <v>2048</v>
      </c>
      <c r="T738" t="s">
        <v>2049</v>
      </c>
    </row>
    <row r="739" spans="1:20" ht="31.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11"/>
        <v>136</v>
      </c>
      <c r="G739" t="s">
        <v>20</v>
      </c>
      <c r="H739">
        <v>180</v>
      </c>
      <c r="I739" s="6"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5">
        <v>42685.25</v>
      </c>
      <c r="O739" s="5">
        <v>42697.25</v>
      </c>
      <c r="P739" t="b">
        <v>0</v>
      </c>
      <c r="Q739" t="b">
        <v>0</v>
      </c>
      <c r="R739" t="s">
        <v>60</v>
      </c>
      <c r="S739" t="s">
        <v>2036</v>
      </c>
      <c r="T739" t="s">
        <v>2046</v>
      </c>
    </row>
    <row r="740" spans="1:20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11"/>
        <v>2</v>
      </c>
      <c r="G740" t="s">
        <v>14</v>
      </c>
      <c r="H740">
        <v>15</v>
      </c>
      <c r="I740" s="6">
        <v>103.8</v>
      </c>
      <c r="J740" t="s">
        <v>21</v>
      </c>
      <c r="K740" t="s">
        <v>22</v>
      </c>
      <c r="L740">
        <v>1416117600</v>
      </c>
      <c r="M740">
        <v>1418018400</v>
      </c>
      <c r="N740" s="5">
        <v>41959.25</v>
      </c>
      <c r="O740" s="5">
        <v>41981.25</v>
      </c>
      <c r="P740" t="b">
        <v>0</v>
      </c>
      <c r="Q740" t="b">
        <v>1</v>
      </c>
      <c r="R740" t="s">
        <v>33</v>
      </c>
      <c r="S740" t="s">
        <v>2040</v>
      </c>
      <c r="T740" t="s">
        <v>2041</v>
      </c>
    </row>
    <row r="741" spans="1:20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11"/>
        <v>61</v>
      </c>
      <c r="G741" t="s">
        <v>14</v>
      </c>
      <c r="H741">
        <v>191</v>
      </c>
      <c r="I741" s="6"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5">
        <v>41089.208333333336</v>
      </c>
      <c r="O741" s="5">
        <v>41090.208333333336</v>
      </c>
      <c r="P741" t="b">
        <v>0</v>
      </c>
      <c r="Q741" t="b">
        <v>0</v>
      </c>
      <c r="R741" t="s">
        <v>60</v>
      </c>
      <c r="S741" t="s">
        <v>2036</v>
      </c>
      <c r="T741" t="s">
        <v>2046</v>
      </c>
    </row>
    <row r="742" spans="1:20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11"/>
        <v>30</v>
      </c>
      <c r="G742" t="s">
        <v>14</v>
      </c>
      <c r="H742">
        <v>16</v>
      </c>
      <c r="I742" s="6">
        <v>99.5</v>
      </c>
      <c r="J742" t="s">
        <v>21</v>
      </c>
      <c r="K742" t="s">
        <v>22</v>
      </c>
      <c r="L742">
        <v>1486101600</v>
      </c>
      <c r="M742">
        <v>1486360800</v>
      </c>
      <c r="N742" s="5">
        <v>42769.25</v>
      </c>
      <c r="O742" s="5">
        <v>42772.25</v>
      </c>
      <c r="P742" t="b">
        <v>0</v>
      </c>
      <c r="Q742" t="b">
        <v>0</v>
      </c>
      <c r="R742" t="s">
        <v>33</v>
      </c>
      <c r="S742" t="s">
        <v>2040</v>
      </c>
      <c r="T742" t="s">
        <v>2041</v>
      </c>
    </row>
    <row r="743" spans="1:20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11"/>
        <v>1179</v>
      </c>
      <c r="G743" t="s">
        <v>20</v>
      </c>
      <c r="H743">
        <v>130</v>
      </c>
      <c r="I743" s="6"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5">
        <v>40321.208333333336</v>
      </c>
      <c r="O743" s="5">
        <v>40322.208333333336</v>
      </c>
      <c r="P743" t="b">
        <v>0</v>
      </c>
      <c r="Q743" t="b">
        <v>0</v>
      </c>
      <c r="R743" t="s">
        <v>33</v>
      </c>
      <c r="S743" t="s">
        <v>2040</v>
      </c>
      <c r="T743" t="s">
        <v>2041</v>
      </c>
    </row>
    <row r="744" spans="1:20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11"/>
        <v>1126</v>
      </c>
      <c r="G744" t="s">
        <v>20</v>
      </c>
      <c r="H744">
        <v>122</v>
      </c>
      <c r="I744" s="6"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5">
        <v>40197.25</v>
      </c>
      <c r="O744" s="5">
        <v>40239.25</v>
      </c>
      <c r="P744" t="b">
        <v>0</v>
      </c>
      <c r="Q744" t="b">
        <v>0</v>
      </c>
      <c r="R744" t="s">
        <v>50</v>
      </c>
      <c r="S744" t="s">
        <v>2036</v>
      </c>
      <c r="T744" t="s">
        <v>2044</v>
      </c>
    </row>
    <row r="745" spans="1:20" ht="31.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11"/>
        <v>13</v>
      </c>
      <c r="G745" t="s">
        <v>14</v>
      </c>
      <c r="H745">
        <v>17</v>
      </c>
      <c r="I745" s="6"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5">
        <v>42298.208333333336</v>
      </c>
      <c r="O745" s="5">
        <v>42304.208333333336</v>
      </c>
      <c r="P745" t="b">
        <v>0</v>
      </c>
      <c r="Q745" t="b">
        <v>1</v>
      </c>
      <c r="R745" t="s">
        <v>33</v>
      </c>
      <c r="S745" t="s">
        <v>2040</v>
      </c>
      <c r="T745" t="s">
        <v>2041</v>
      </c>
    </row>
    <row r="746" spans="1:20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11"/>
        <v>712</v>
      </c>
      <c r="G746" t="s">
        <v>20</v>
      </c>
      <c r="H746">
        <v>140</v>
      </c>
      <c r="I746" s="6"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5">
        <v>43322.208333333336</v>
      </c>
      <c r="O746" s="5">
        <v>43324.208333333336</v>
      </c>
      <c r="P746" t="b">
        <v>0</v>
      </c>
      <c r="Q746" t="b">
        <v>1</v>
      </c>
      <c r="R746" t="s">
        <v>33</v>
      </c>
      <c r="S746" t="s">
        <v>2040</v>
      </c>
      <c r="T746" t="s">
        <v>2041</v>
      </c>
    </row>
    <row r="747" spans="1:20" ht="31.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11"/>
        <v>30</v>
      </c>
      <c r="G747" t="s">
        <v>14</v>
      </c>
      <c r="H747">
        <v>34</v>
      </c>
      <c r="I747" s="6">
        <v>61.5</v>
      </c>
      <c r="J747" t="s">
        <v>21</v>
      </c>
      <c r="K747" t="s">
        <v>22</v>
      </c>
      <c r="L747">
        <v>1275195600</v>
      </c>
      <c r="M747">
        <v>1277528400</v>
      </c>
      <c r="N747" s="5">
        <v>40328.208333333336</v>
      </c>
      <c r="O747" s="5">
        <v>40355.208333333336</v>
      </c>
      <c r="P747" t="b">
        <v>0</v>
      </c>
      <c r="Q747" t="b">
        <v>0</v>
      </c>
      <c r="R747" t="s">
        <v>65</v>
      </c>
      <c r="S747" t="s">
        <v>2038</v>
      </c>
      <c r="T747" t="s">
        <v>2047</v>
      </c>
    </row>
    <row r="748" spans="1:20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11"/>
        <v>213</v>
      </c>
      <c r="G748" t="s">
        <v>20</v>
      </c>
      <c r="H748">
        <v>3388</v>
      </c>
      <c r="I748" s="6">
        <v>35</v>
      </c>
      <c r="J748" t="s">
        <v>21</v>
      </c>
      <c r="K748" t="s">
        <v>22</v>
      </c>
      <c r="L748">
        <v>1318136400</v>
      </c>
      <c r="M748">
        <v>1318568400</v>
      </c>
      <c r="N748" s="5">
        <v>40825.208333333336</v>
      </c>
      <c r="O748" s="5">
        <v>40830.208333333336</v>
      </c>
      <c r="P748" t="b">
        <v>0</v>
      </c>
      <c r="Q748" t="b">
        <v>0</v>
      </c>
      <c r="R748" t="s">
        <v>28</v>
      </c>
      <c r="S748" t="s">
        <v>2038</v>
      </c>
      <c r="T748" t="s">
        <v>2039</v>
      </c>
    </row>
    <row r="749" spans="1:20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11"/>
        <v>229</v>
      </c>
      <c r="G749" t="s">
        <v>20</v>
      </c>
      <c r="H749">
        <v>280</v>
      </c>
      <c r="I749" s="6"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5">
        <v>40423.208333333336</v>
      </c>
      <c r="O749" s="5">
        <v>40434.208333333336</v>
      </c>
      <c r="P749" t="b">
        <v>0</v>
      </c>
      <c r="Q749" t="b">
        <v>0</v>
      </c>
      <c r="R749" t="s">
        <v>33</v>
      </c>
      <c r="S749" t="s">
        <v>2040</v>
      </c>
      <c r="T749" t="s">
        <v>2041</v>
      </c>
    </row>
    <row r="750" spans="1:20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11"/>
        <v>35</v>
      </c>
      <c r="G750" t="s">
        <v>74</v>
      </c>
      <c r="H750">
        <v>614</v>
      </c>
      <c r="I750" s="6"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5">
        <v>40238.25</v>
      </c>
      <c r="O750" s="5">
        <v>40263.208333333336</v>
      </c>
      <c r="P750" t="b">
        <v>0</v>
      </c>
      <c r="Q750" t="b">
        <v>1</v>
      </c>
      <c r="R750" t="s">
        <v>71</v>
      </c>
      <c r="S750" t="s">
        <v>2042</v>
      </c>
      <c r="T750" t="s">
        <v>2050</v>
      </c>
    </row>
    <row r="751" spans="1:20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11"/>
        <v>157</v>
      </c>
      <c r="G751" t="s">
        <v>20</v>
      </c>
      <c r="H751">
        <v>366</v>
      </c>
      <c r="I751" s="6"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5">
        <v>41920.208333333336</v>
      </c>
      <c r="O751" s="5">
        <v>41932.208333333336</v>
      </c>
      <c r="P751" t="b">
        <v>0</v>
      </c>
      <c r="Q751" t="b">
        <v>1</v>
      </c>
      <c r="R751" t="s">
        <v>65</v>
      </c>
      <c r="S751" t="s">
        <v>2038</v>
      </c>
      <c r="T751" t="s">
        <v>2047</v>
      </c>
    </row>
    <row r="752" spans="1:20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11"/>
        <v>1</v>
      </c>
      <c r="G752" t="s">
        <v>14</v>
      </c>
      <c r="H752">
        <v>1</v>
      </c>
      <c r="I752" s="6">
        <v>1</v>
      </c>
      <c r="J752" t="s">
        <v>40</v>
      </c>
      <c r="K752" t="s">
        <v>41</v>
      </c>
      <c r="L752">
        <v>1277960400</v>
      </c>
      <c r="M752">
        <v>1280120400</v>
      </c>
      <c r="N752" s="5">
        <v>40360.208333333336</v>
      </c>
      <c r="O752" s="5">
        <v>40385.208333333336</v>
      </c>
      <c r="P752" t="b">
        <v>0</v>
      </c>
      <c r="Q752" t="b">
        <v>0</v>
      </c>
      <c r="R752" t="s">
        <v>50</v>
      </c>
      <c r="S752" t="s">
        <v>2036</v>
      </c>
      <c r="T752" t="s">
        <v>2044</v>
      </c>
    </row>
    <row r="753" spans="1:20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11"/>
        <v>232</v>
      </c>
      <c r="G753" t="s">
        <v>20</v>
      </c>
      <c r="H753">
        <v>270</v>
      </c>
      <c r="I753" s="6"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5">
        <v>42446.208333333336</v>
      </c>
      <c r="O753" s="5">
        <v>42461.208333333336</v>
      </c>
      <c r="P753" t="b">
        <v>1</v>
      </c>
      <c r="Q753" t="b">
        <v>1</v>
      </c>
      <c r="R753" t="s">
        <v>68</v>
      </c>
      <c r="S753" t="s">
        <v>2048</v>
      </c>
      <c r="T753" t="s">
        <v>2049</v>
      </c>
    </row>
    <row r="754" spans="1:20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11"/>
        <v>92</v>
      </c>
      <c r="G754" t="s">
        <v>74</v>
      </c>
      <c r="H754">
        <v>114</v>
      </c>
      <c r="I754" s="6"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5">
        <v>40395.208333333336</v>
      </c>
      <c r="O754" s="5">
        <v>40413.208333333336</v>
      </c>
      <c r="P754" t="b">
        <v>0</v>
      </c>
      <c r="Q754" t="b">
        <v>1</v>
      </c>
      <c r="R754" t="s">
        <v>33</v>
      </c>
      <c r="S754" t="s">
        <v>2040</v>
      </c>
      <c r="T754" t="s">
        <v>2041</v>
      </c>
    </row>
    <row r="755" spans="1:20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11"/>
        <v>257</v>
      </c>
      <c r="G755" t="s">
        <v>20</v>
      </c>
      <c r="H755">
        <v>137</v>
      </c>
      <c r="I755" s="6"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5">
        <v>40321.208333333336</v>
      </c>
      <c r="O755" s="5">
        <v>40336.208333333336</v>
      </c>
      <c r="P755" t="b">
        <v>0</v>
      </c>
      <c r="Q755" t="b">
        <v>0</v>
      </c>
      <c r="R755" t="s">
        <v>122</v>
      </c>
      <c r="S755" t="s">
        <v>2055</v>
      </c>
      <c r="T755" t="s">
        <v>2056</v>
      </c>
    </row>
    <row r="756" spans="1:20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11"/>
        <v>168</v>
      </c>
      <c r="G756" t="s">
        <v>20</v>
      </c>
      <c r="H756">
        <v>3205</v>
      </c>
      <c r="I756" s="6"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5">
        <v>41210.208333333336</v>
      </c>
      <c r="O756" s="5">
        <v>41263.25</v>
      </c>
      <c r="P756" t="b">
        <v>0</v>
      </c>
      <c r="Q756" t="b">
        <v>0</v>
      </c>
      <c r="R756" t="s">
        <v>33</v>
      </c>
      <c r="S756" t="s">
        <v>2040</v>
      </c>
      <c r="T756" t="s">
        <v>2041</v>
      </c>
    </row>
    <row r="757" spans="1:20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11"/>
        <v>167</v>
      </c>
      <c r="G757" t="s">
        <v>20</v>
      </c>
      <c r="H757">
        <v>288</v>
      </c>
      <c r="I757" s="6"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5">
        <v>43096.25</v>
      </c>
      <c r="O757" s="5">
        <v>43108.25</v>
      </c>
      <c r="P757" t="b">
        <v>0</v>
      </c>
      <c r="Q757" t="b">
        <v>1</v>
      </c>
      <c r="R757" t="s">
        <v>33</v>
      </c>
      <c r="S757" t="s">
        <v>2040</v>
      </c>
      <c r="T757" t="s">
        <v>2041</v>
      </c>
    </row>
    <row r="758" spans="1:20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11"/>
        <v>772</v>
      </c>
      <c r="G758" t="s">
        <v>20</v>
      </c>
      <c r="H758">
        <v>148</v>
      </c>
      <c r="I758" s="6"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5">
        <v>42024.25</v>
      </c>
      <c r="O758" s="5">
        <v>42030.25</v>
      </c>
      <c r="P758" t="b">
        <v>0</v>
      </c>
      <c r="Q758" t="b">
        <v>0</v>
      </c>
      <c r="R758" t="s">
        <v>33</v>
      </c>
      <c r="S758" t="s">
        <v>2040</v>
      </c>
      <c r="T758" t="s">
        <v>2041</v>
      </c>
    </row>
    <row r="759" spans="1:20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11"/>
        <v>407</v>
      </c>
      <c r="G759" t="s">
        <v>20</v>
      </c>
      <c r="H759">
        <v>114</v>
      </c>
      <c r="I759" s="6"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5">
        <v>40675.208333333336</v>
      </c>
      <c r="O759" s="5">
        <v>40679.208333333336</v>
      </c>
      <c r="P759" t="b">
        <v>0</v>
      </c>
      <c r="Q759" t="b">
        <v>0</v>
      </c>
      <c r="R759" t="s">
        <v>53</v>
      </c>
      <c r="S759" t="s">
        <v>2042</v>
      </c>
      <c r="T759" t="s">
        <v>2045</v>
      </c>
    </row>
    <row r="760" spans="1:20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11"/>
        <v>564</v>
      </c>
      <c r="G760" t="s">
        <v>20</v>
      </c>
      <c r="H760">
        <v>1518</v>
      </c>
      <c r="I760" s="6"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5">
        <v>41936.208333333336</v>
      </c>
      <c r="O760" s="5">
        <v>41945.208333333336</v>
      </c>
      <c r="P760" t="b">
        <v>0</v>
      </c>
      <c r="Q760" t="b">
        <v>0</v>
      </c>
      <c r="R760" t="s">
        <v>23</v>
      </c>
      <c r="S760" t="s">
        <v>2036</v>
      </c>
      <c r="T760" t="s">
        <v>2037</v>
      </c>
    </row>
    <row r="761" spans="1:20" ht="31.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11"/>
        <v>68</v>
      </c>
      <c r="G761" t="s">
        <v>14</v>
      </c>
      <c r="H761">
        <v>1274</v>
      </c>
      <c r="I761" s="6"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5">
        <v>43136.25</v>
      </c>
      <c r="O761" s="5">
        <v>43166.25</v>
      </c>
      <c r="P761" t="b">
        <v>0</v>
      </c>
      <c r="Q761" t="b">
        <v>0</v>
      </c>
      <c r="R761" t="s">
        <v>50</v>
      </c>
      <c r="S761" t="s">
        <v>2036</v>
      </c>
      <c r="T761" t="s">
        <v>2044</v>
      </c>
    </row>
    <row r="762" spans="1:20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11"/>
        <v>34</v>
      </c>
      <c r="G762" t="s">
        <v>14</v>
      </c>
      <c r="H762">
        <v>210</v>
      </c>
      <c r="I762" s="6"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5">
        <v>43678.208333333336</v>
      </c>
      <c r="O762" s="5">
        <v>43707.208333333336</v>
      </c>
      <c r="P762" t="b">
        <v>0</v>
      </c>
      <c r="Q762" t="b">
        <v>1</v>
      </c>
      <c r="R762" t="s">
        <v>89</v>
      </c>
      <c r="S762" t="s">
        <v>2051</v>
      </c>
      <c r="T762" t="s">
        <v>2052</v>
      </c>
    </row>
    <row r="763" spans="1:20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11"/>
        <v>655</v>
      </c>
      <c r="G763" t="s">
        <v>20</v>
      </c>
      <c r="H763">
        <v>166</v>
      </c>
      <c r="I763" s="6"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5">
        <v>42938.208333333336</v>
      </c>
      <c r="O763" s="5">
        <v>42943.208333333336</v>
      </c>
      <c r="P763" t="b">
        <v>0</v>
      </c>
      <c r="Q763" t="b">
        <v>0</v>
      </c>
      <c r="R763" t="s">
        <v>23</v>
      </c>
      <c r="S763" t="s">
        <v>2036</v>
      </c>
      <c r="T763" t="s">
        <v>2037</v>
      </c>
    </row>
    <row r="764" spans="1:20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11"/>
        <v>177</v>
      </c>
      <c r="G764" t="s">
        <v>20</v>
      </c>
      <c r="H764">
        <v>100</v>
      </c>
      <c r="I764" s="6">
        <v>62.04</v>
      </c>
      <c r="J764" t="s">
        <v>26</v>
      </c>
      <c r="K764" t="s">
        <v>27</v>
      </c>
      <c r="L764">
        <v>1354082400</v>
      </c>
      <c r="M764">
        <v>1355032800</v>
      </c>
      <c r="N764" s="5">
        <v>41241.25</v>
      </c>
      <c r="O764" s="5">
        <v>41252.25</v>
      </c>
      <c r="P764" t="b">
        <v>0</v>
      </c>
      <c r="Q764" t="b">
        <v>0</v>
      </c>
      <c r="R764" t="s">
        <v>159</v>
      </c>
      <c r="S764" t="s">
        <v>2036</v>
      </c>
      <c r="T764" t="s">
        <v>2059</v>
      </c>
    </row>
    <row r="765" spans="1:20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11"/>
        <v>113</v>
      </c>
      <c r="G765" t="s">
        <v>20</v>
      </c>
      <c r="H765">
        <v>235</v>
      </c>
      <c r="I765" s="6"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5">
        <v>41037.208333333336</v>
      </c>
      <c r="O765" s="5">
        <v>41072.208333333336</v>
      </c>
      <c r="P765" t="b">
        <v>0</v>
      </c>
      <c r="Q765" t="b">
        <v>1</v>
      </c>
      <c r="R765" t="s">
        <v>33</v>
      </c>
      <c r="S765" t="s">
        <v>2040</v>
      </c>
      <c r="T765" t="s">
        <v>2041</v>
      </c>
    </row>
    <row r="766" spans="1:20" ht="31.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11"/>
        <v>728</v>
      </c>
      <c r="G766" t="s">
        <v>20</v>
      </c>
      <c r="H766">
        <v>148</v>
      </c>
      <c r="I766" s="6"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5">
        <v>40676.208333333336</v>
      </c>
      <c r="O766" s="5">
        <v>40684.208333333336</v>
      </c>
      <c r="P766" t="b">
        <v>0</v>
      </c>
      <c r="Q766" t="b">
        <v>0</v>
      </c>
      <c r="R766" t="s">
        <v>23</v>
      </c>
      <c r="S766" t="s">
        <v>2036</v>
      </c>
      <c r="T766" t="s">
        <v>2037</v>
      </c>
    </row>
    <row r="767" spans="1:20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11"/>
        <v>208</v>
      </c>
      <c r="G767" t="s">
        <v>20</v>
      </c>
      <c r="H767">
        <v>198</v>
      </c>
      <c r="I767" s="6"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5">
        <v>42840.208333333336</v>
      </c>
      <c r="O767" s="5">
        <v>42865.208333333336</v>
      </c>
      <c r="P767" t="b">
        <v>1</v>
      </c>
      <c r="Q767" t="b">
        <v>1</v>
      </c>
      <c r="R767" t="s">
        <v>60</v>
      </c>
      <c r="S767" t="s">
        <v>2036</v>
      </c>
      <c r="T767" t="s">
        <v>2046</v>
      </c>
    </row>
    <row r="768" spans="1:20" ht="31.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11"/>
        <v>31</v>
      </c>
      <c r="G768" t="s">
        <v>14</v>
      </c>
      <c r="H768">
        <v>248</v>
      </c>
      <c r="I768" s="6"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5">
        <v>43362.208333333336</v>
      </c>
      <c r="O768" s="5">
        <v>43363.208333333336</v>
      </c>
      <c r="P768" t="b">
        <v>0</v>
      </c>
      <c r="Q768" t="b">
        <v>0</v>
      </c>
      <c r="R768" t="s">
        <v>474</v>
      </c>
      <c r="S768" t="s">
        <v>2042</v>
      </c>
      <c r="T768" t="s">
        <v>2064</v>
      </c>
    </row>
    <row r="769" spans="1:20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11"/>
        <v>57</v>
      </c>
      <c r="G769" t="s">
        <v>14</v>
      </c>
      <c r="H769">
        <v>513</v>
      </c>
      <c r="I769" s="6"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5">
        <v>42283.208333333336</v>
      </c>
      <c r="O769" s="5">
        <v>42328.25</v>
      </c>
      <c r="P769" t="b">
        <v>0</v>
      </c>
      <c r="Q769" t="b">
        <v>0</v>
      </c>
      <c r="R769" t="s">
        <v>206</v>
      </c>
      <c r="S769" t="s">
        <v>2048</v>
      </c>
      <c r="T769" t="s">
        <v>2060</v>
      </c>
    </row>
    <row r="770" spans="1:20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11"/>
        <v>231</v>
      </c>
      <c r="G770" t="s">
        <v>20</v>
      </c>
      <c r="H770">
        <v>150</v>
      </c>
      <c r="I770" s="6">
        <v>73.92</v>
      </c>
      <c r="J770" t="s">
        <v>21</v>
      </c>
      <c r="K770" t="s">
        <v>22</v>
      </c>
      <c r="L770">
        <v>1386741600</v>
      </c>
      <c r="M770">
        <v>1388037600</v>
      </c>
      <c r="N770" s="5">
        <v>41619.25</v>
      </c>
      <c r="O770" s="5">
        <v>41634.25</v>
      </c>
      <c r="P770" t="b">
        <v>0</v>
      </c>
      <c r="Q770" t="b">
        <v>0</v>
      </c>
      <c r="R770" t="s">
        <v>33</v>
      </c>
      <c r="S770" t="s">
        <v>2040</v>
      </c>
      <c r="T770" t="s">
        <v>2041</v>
      </c>
    </row>
    <row r="771" spans="1:20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si="11"/>
        <v>87</v>
      </c>
      <c r="G771" t="s">
        <v>14</v>
      </c>
      <c r="H771">
        <v>3410</v>
      </c>
      <c r="I771" s="6"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5">
        <v>41501.208333333336</v>
      </c>
      <c r="O771" s="5">
        <v>41527.208333333336</v>
      </c>
      <c r="P771" t="b">
        <v>0</v>
      </c>
      <c r="Q771" t="b">
        <v>0</v>
      </c>
      <c r="R771" t="s">
        <v>89</v>
      </c>
      <c r="S771" t="s">
        <v>2051</v>
      </c>
      <c r="T771" t="s">
        <v>2052</v>
      </c>
    </row>
    <row r="772" spans="1:20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ref="F772:F835" si="12">ROUND(E772/D772*100,0)</f>
        <v>271</v>
      </c>
      <c r="G772" t="s">
        <v>20</v>
      </c>
      <c r="H772">
        <v>216</v>
      </c>
      <c r="I772" s="6"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5">
        <v>41743.208333333336</v>
      </c>
      <c r="O772" s="5">
        <v>41750.208333333336</v>
      </c>
      <c r="P772" t="b">
        <v>0</v>
      </c>
      <c r="Q772" t="b">
        <v>1</v>
      </c>
      <c r="R772" t="s">
        <v>33</v>
      </c>
      <c r="S772" t="s">
        <v>2040</v>
      </c>
      <c r="T772" t="s">
        <v>2041</v>
      </c>
    </row>
    <row r="773" spans="1:20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12"/>
        <v>49</v>
      </c>
      <c r="G773" t="s">
        <v>74</v>
      </c>
      <c r="H773">
        <v>26</v>
      </c>
      <c r="I773" s="6">
        <v>106.5</v>
      </c>
      <c r="J773" t="s">
        <v>21</v>
      </c>
      <c r="K773" t="s">
        <v>22</v>
      </c>
      <c r="L773">
        <v>1548482400</v>
      </c>
      <c r="M773">
        <v>1550815200</v>
      </c>
      <c r="N773" s="5">
        <v>43491.25</v>
      </c>
      <c r="O773" s="5">
        <v>43518.25</v>
      </c>
      <c r="P773" t="b">
        <v>0</v>
      </c>
      <c r="Q773" t="b">
        <v>0</v>
      </c>
      <c r="R773" t="s">
        <v>33</v>
      </c>
      <c r="S773" t="s">
        <v>2040</v>
      </c>
      <c r="T773" t="s">
        <v>2041</v>
      </c>
    </row>
    <row r="774" spans="1:20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12"/>
        <v>113</v>
      </c>
      <c r="G774" t="s">
        <v>20</v>
      </c>
      <c r="H774">
        <v>5139</v>
      </c>
      <c r="I774" s="6"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5">
        <v>43505.25</v>
      </c>
      <c r="O774" s="5">
        <v>43509.25</v>
      </c>
      <c r="P774" t="b">
        <v>0</v>
      </c>
      <c r="Q774" t="b">
        <v>0</v>
      </c>
      <c r="R774" t="s">
        <v>60</v>
      </c>
      <c r="S774" t="s">
        <v>2036</v>
      </c>
      <c r="T774" t="s">
        <v>2046</v>
      </c>
    </row>
    <row r="775" spans="1:20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12"/>
        <v>191</v>
      </c>
      <c r="G775" t="s">
        <v>20</v>
      </c>
      <c r="H775">
        <v>2353</v>
      </c>
      <c r="I775" s="6"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5">
        <v>42838.208333333336</v>
      </c>
      <c r="O775" s="5">
        <v>42848.208333333336</v>
      </c>
      <c r="P775" t="b">
        <v>0</v>
      </c>
      <c r="Q775" t="b">
        <v>0</v>
      </c>
      <c r="R775" t="s">
        <v>33</v>
      </c>
      <c r="S775" t="s">
        <v>2040</v>
      </c>
      <c r="T775" t="s">
        <v>2041</v>
      </c>
    </row>
    <row r="776" spans="1:20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12"/>
        <v>136</v>
      </c>
      <c r="G776" t="s">
        <v>20</v>
      </c>
      <c r="H776">
        <v>78</v>
      </c>
      <c r="I776" s="6"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5">
        <v>42513.208333333336</v>
      </c>
      <c r="O776" s="5">
        <v>42554.208333333336</v>
      </c>
      <c r="P776" t="b">
        <v>0</v>
      </c>
      <c r="Q776" t="b">
        <v>0</v>
      </c>
      <c r="R776" t="s">
        <v>28</v>
      </c>
      <c r="S776" t="s">
        <v>2038</v>
      </c>
      <c r="T776" t="s">
        <v>2039</v>
      </c>
    </row>
    <row r="777" spans="1:20" ht="31.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12"/>
        <v>10</v>
      </c>
      <c r="G777" t="s">
        <v>14</v>
      </c>
      <c r="H777">
        <v>10</v>
      </c>
      <c r="I777" s="6">
        <v>96.8</v>
      </c>
      <c r="J777" t="s">
        <v>21</v>
      </c>
      <c r="K777" t="s">
        <v>22</v>
      </c>
      <c r="L777">
        <v>1415253600</v>
      </c>
      <c r="M777">
        <v>1416117600</v>
      </c>
      <c r="N777" s="5">
        <v>41949.25</v>
      </c>
      <c r="O777" s="5">
        <v>41959.25</v>
      </c>
      <c r="P777" t="b">
        <v>0</v>
      </c>
      <c r="Q777" t="b">
        <v>0</v>
      </c>
      <c r="R777" t="s">
        <v>23</v>
      </c>
      <c r="S777" t="s">
        <v>2036</v>
      </c>
      <c r="T777" t="s">
        <v>2037</v>
      </c>
    </row>
    <row r="778" spans="1:20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12"/>
        <v>66</v>
      </c>
      <c r="G778" t="s">
        <v>14</v>
      </c>
      <c r="H778">
        <v>2201</v>
      </c>
      <c r="I778" s="6"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5">
        <v>43650.208333333336</v>
      </c>
      <c r="O778" s="5">
        <v>43668.208333333336</v>
      </c>
      <c r="P778" t="b">
        <v>0</v>
      </c>
      <c r="Q778" t="b">
        <v>0</v>
      </c>
      <c r="R778" t="s">
        <v>33</v>
      </c>
      <c r="S778" t="s">
        <v>2040</v>
      </c>
      <c r="T778" t="s">
        <v>2041</v>
      </c>
    </row>
    <row r="779" spans="1:20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12"/>
        <v>49</v>
      </c>
      <c r="G779" t="s">
        <v>14</v>
      </c>
      <c r="H779">
        <v>676</v>
      </c>
      <c r="I779" s="6"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5">
        <v>40809.208333333336</v>
      </c>
      <c r="O779" s="5">
        <v>40838.208333333336</v>
      </c>
      <c r="P779" t="b">
        <v>0</v>
      </c>
      <c r="Q779" t="b">
        <v>0</v>
      </c>
      <c r="R779" t="s">
        <v>33</v>
      </c>
      <c r="S779" t="s">
        <v>2040</v>
      </c>
      <c r="T779" t="s">
        <v>2041</v>
      </c>
    </row>
    <row r="780" spans="1:20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12"/>
        <v>788</v>
      </c>
      <c r="G780" t="s">
        <v>20</v>
      </c>
      <c r="H780">
        <v>174</v>
      </c>
      <c r="I780" s="6"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5">
        <v>40768.208333333336</v>
      </c>
      <c r="O780" s="5">
        <v>40773.208333333336</v>
      </c>
      <c r="P780" t="b">
        <v>0</v>
      </c>
      <c r="Q780" t="b">
        <v>0</v>
      </c>
      <c r="R780" t="s">
        <v>71</v>
      </c>
      <c r="S780" t="s">
        <v>2042</v>
      </c>
      <c r="T780" t="s">
        <v>2050</v>
      </c>
    </row>
    <row r="781" spans="1:20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12"/>
        <v>80</v>
      </c>
      <c r="G781" t="s">
        <v>14</v>
      </c>
      <c r="H781">
        <v>831</v>
      </c>
      <c r="I781" s="6"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5">
        <v>42230.208333333336</v>
      </c>
      <c r="O781" s="5">
        <v>42239.208333333336</v>
      </c>
      <c r="P781" t="b">
        <v>0</v>
      </c>
      <c r="Q781" t="b">
        <v>1</v>
      </c>
      <c r="R781" t="s">
        <v>33</v>
      </c>
      <c r="S781" t="s">
        <v>2040</v>
      </c>
      <c r="T781" t="s">
        <v>2041</v>
      </c>
    </row>
    <row r="782" spans="1:20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12"/>
        <v>106</v>
      </c>
      <c r="G782" t="s">
        <v>20</v>
      </c>
      <c r="H782">
        <v>164</v>
      </c>
      <c r="I782" s="6"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5">
        <v>42573.208333333336</v>
      </c>
      <c r="O782" s="5">
        <v>42592.208333333336</v>
      </c>
      <c r="P782" t="b">
        <v>0</v>
      </c>
      <c r="Q782" t="b">
        <v>1</v>
      </c>
      <c r="R782" t="s">
        <v>53</v>
      </c>
      <c r="S782" t="s">
        <v>2042</v>
      </c>
      <c r="T782" t="s">
        <v>2045</v>
      </c>
    </row>
    <row r="783" spans="1:20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12"/>
        <v>51</v>
      </c>
      <c r="G783" t="s">
        <v>74</v>
      </c>
      <c r="H783">
        <v>56</v>
      </c>
      <c r="I783" s="6"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5">
        <v>40482.208333333336</v>
      </c>
      <c r="O783" s="5">
        <v>40533.25</v>
      </c>
      <c r="P783" t="b">
        <v>0</v>
      </c>
      <c r="Q783" t="b">
        <v>0</v>
      </c>
      <c r="R783" t="s">
        <v>33</v>
      </c>
      <c r="S783" t="s">
        <v>2040</v>
      </c>
      <c r="T783" t="s">
        <v>2041</v>
      </c>
    </row>
    <row r="784" spans="1:20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12"/>
        <v>215</v>
      </c>
      <c r="G784" t="s">
        <v>20</v>
      </c>
      <c r="H784">
        <v>161</v>
      </c>
      <c r="I784" s="6"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5">
        <v>40603.25</v>
      </c>
      <c r="O784" s="5">
        <v>40631.208333333336</v>
      </c>
      <c r="P784" t="b">
        <v>0</v>
      </c>
      <c r="Q784" t="b">
        <v>1</v>
      </c>
      <c r="R784" t="s">
        <v>71</v>
      </c>
      <c r="S784" t="s">
        <v>2042</v>
      </c>
      <c r="T784" t="s">
        <v>2050</v>
      </c>
    </row>
    <row r="785" spans="1:20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12"/>
        <v>141</v>
      </c>
      <c r="G785" t="s">
        <v>20</v>
      </c>
      <c r="H785">
        <v>138</v>
      </c>
      <c r="I785" s="6"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5">
        <v>41625.25</v>
      </c>
      <c r="O785" s="5">
        <v>41632.25</v>
      </c>
      <c r="P785" t="b">
        <v>0</v>
      </c>
      <c r="Q785" t="b">
        <v>0</v>
      </c>
      <c r="R785" t="s">
        <v>23</v>
      </c>
      <c r="S785" t="s">
        <v>2036</v>
      </c>
      <c r="T785" t="s">
        <v>2037</v>
      </c>
    </row>
    <row r="786" spans="1:20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12"/>
        <v>115</v>
      </c>
      <c r="G786" t="s">
        <v>20</v>
      </c>
      <c r="H786">
        <v>3308</v>
      </c>
      <c r="I786" s="6"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5">
        <v>42435.25</v>
      </c>
      <c r="O786" s="5">
        <v>42446.208333333336</v>
      </c>
      <c r="P786" t="b">
        <v>0</v>
      </c>
      <c r="Q786" t="b">
        <v>0</v>
      </c>
      <c r="R786" t="s">
        <v>28</v>
      </c>
      <c r="S786" t="s">
        <v>2038</v>
      </c>
      <c r="T786" t="s">
        <v>2039</v>
      </c>
    </row>
    <row r="787" spans="1:20" ht="31.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12"/>
        <v>193</v>
      </c>
      <c r="G787" t="s">
        <v>20</v>
      </c>
      <c r="H787">
        <v>127</v>
      </c>
      <c r="I787" s="6"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5">
        <v>43582.208333333336</v>
      </c>
      <c r="O787" s="5">
        <v>43616.208333333336</v>
      </c>
      <c r="P787" t="b">
        <v>0</v>
      </c>
      <c r="Q787" t="b">
        <v>1</v>
      </c>
      <c r="R787" t="s">
        <v>71</v>
      </c>
      <c r="S787" t="s">
        <v>2042</v>
      </c>
      <c r="T787" t="s">
        <v>2050</v>
      </c>
    </row>
    <row r="788" spans="1:20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12"/>
        <v>730</v>
      </c>
      <c r="G788" t="s">
        <v>20</v>
      </c>
      <c r="H788">
        <v>207</v>
      </c>
      <c r="I788" s="6"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5">
        <v>43186.208333333336</v>
      </c>
      <c r="O788" s="5">
        <v>43193.208333333336</v>
      </c>
      <c r="P788" t="b">
        <v>0</v>
      </c>
      <c r="Q788" t="b">
        <v>1</v>
      </c>
      <c r="R788" t="s">
        <v>159</v>
      </c>
      <c r="S788" t="s">
        <v>2036</v>
      </c>
      <c r="T788" t="s">
        <v>2059</v>
      </c>
    </row>
    <row r="789" spans="1:20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12"/>
        <v>100</v>
      </c>
      <c r="G789" t="s">
        <v>14</v>
      </c>
      <c r="H789">
        <v>859</v>
      </c>
      <c r="I789" s="6"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5">
        <v>40684.208333333336</v>
      </c>
      <c r="O789" s="5">
        <v>40693.208333333336</v>
      </c>
      <c r="P789" t="b">
        <v>0</v>
      </c>
      <c r="Q789" t="b">
        <v>0</v>
      </c>
      <c r="R789" t="s">
        <v>23</v>
      </c>
      <c r="S789" t="s">
        <v>2036</v>
      </c>
      <c r="T789" t="s">
        <v>2037</v>
      </c>
    </row>
    <row r="790" spans="1:20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12"/>
        <v>88</v>
      </c>
      <c r="G790" t="s">
        <v>47</v>
      </c>
      <c r="H790">
        <v>31</v>
      </c>
      <c r="I790" s="6"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5">
        <v>41202.208333333336</v>
      </c>
      <c r="O790" s="5">
        <v>41223.25</v>
      </c>
      <c r="P790" t="b">
        <v>0</v>
      </c>
      <c r="Q790" t="b">
        <v>0</v>
      </c>
      <c r="R790" t="s">
        <v>71</v>
      </c>
      <c r="S790" t="s">
        <v>2042</v>
      </c>
      <c r="T790" t="s">
        <v>2050</v>
      </c>
    </row>
    <row r="791" spans="1:20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12"/>
        <v>37</v>
      </c>
      <c r="G791" t="s">
        <v>14</v>
      </c>
      <c r="H791">
        <v>45</v>
      </c>
      <c r="I791" s="6"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5">
        <v>41786.208333333336</v>
      </c>
      <c r="O791" s="5">
        <v>41823.208333333336</v>
      </c>
      <c r="P791" t="b">
        <v>0</v>
      </c>
      <c r="Q791" t="b">
        <v>0</v>
      </c>
      <c r="R791" t="s">
        <v>33</v>
      </c>
      <c r="S791" t="s">
        <v>2040</v>
      </c>
      <c r="T791" t="s">
        <v>2041</v>
      </c>
    </row>
    <row r="792" spans="1:20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12"/>
        <v>31</v>
      </c>
      <c r="G792" t="s">
        <v>74</v>
      </c>
      <c r="H792">
        <v>1113</v>
      </c>
      <c r="I792" s="6"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5">
        <v>40223.25</v>
      </c>
      <c r="O792" s="5">
        <v>40229.25</v>
      </c>
      <c r="P792" t="b">
        <v>0</v>
      </c>
      <c r="Q792" t="b">
        <v>0</v>
      </c>
      <c r="R792" t="s">
        <v>33</v>
      </c>
      <c r="S792" t="s">
        <v>2040</v>
      </c>
      <c r="T792" t="s">
        <v>2041</v>
      </c>
    </row>
    <row r="793" spans="1:20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12"/>
        <v>26</v>
      </c>
      <c r="G793" t="s">
        <v>14</v>
      </c>
      <c r="H793">
        <v>6</v>
      </c>
      <c r="I793" s="6">
        <v>90</v>
      </c>
      <c r="J793" t="s">
        <v>21</v>
      </c>
      <c r="K793" t="s">
        <v>22</v>
      </c>
      <c r="L793">
        <v>1481436000</v>
      </c>
      <c r="M793">
        <v>1482818400</v>
      </c>
      <c r="N793" s="5">
        <v>42715.25</v>
      </c>
      <c r="O793" s="5">
        <v>42731.25</v>
      </c>
      <c r="P793" t="b">
        <v>0</v>
      </c>
      <c r="Q793" t="b">
        <v>0</v>
      </c>
      <c r="R793" t="s">
        <v>17</v>
      </c>
      <c r="S793" t="s">
        <v>2034</v>
      </c>
      <c r="T793" t="s">
        <v>2035</v>
      </c>
    </row>
    <row r="794" spans="1:20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12"/>
        <v>34</v>
      </c>
      <c r="G794" t="s">
        <v>14</v>
      </c>
      <c r="H794">
        <v>7</v>
      </c>
      <c r="I794" s="6"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5">
        <v>41451.208333333336</v>
      </c>
      <c r="O794" s="5">
        <v>41479.208333333336</v>
      </c>
      <c r="P794" t="b">
        <v>0</v>
      </c>
      <c r="Q794" t="b">
        <v>1</v>
      </c>
      <c r="R794" t="s">
        <v>33</v>
      </c>
      <c r="S794" t="s">
        <v>2040</v>
      </c>
      <c r="T794" t="s">
        <v>2041</v>
      </c>
    </row>
    <row r="795" spans="1:20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12"/>
        <v>1186</v>
      </c>
      <c r="G795" t="s">
        <v>20</v>
      </c>
      <c r="H795">
        <v>181</v>
      </c>
      <c r="I795" s="6"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5">
        <v>41450.208333333336</v>
      </c>
      <c r="O795" s="5">
        <v>41454.208333333336</v>
      </c>
      <c r="P795" t="b">
        <v>0</v>
      </c>
      <c r="Q795" t="b">
        <v>0</v>
      </c>
      <c r="R795" t="s">
        <v>68</v>
      </c>
      <c r="S795" t="s">
        <v>2048</v>
      </c>
      <c r="T795" t="s">
        <v>2049</v>
      </c>
    </row>
    <row r="796" spans="1:20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12"/>
        <v>125</v>
      </c>
      <c r="G796" t="s">
        <v>20</v>
      </c>
      <c r="H796">
        <v>110</v>
      </c>
      <c r="I796" s="6"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5">
        <v>43091.25</v>
      </c>
      <c r="O796" s="5">
        <v>43103.25</v>
      </c>
      <c r="P796" t="b">
        <v>0</v>
      </c>
      <c r="Q796" t="b">
        <v>0</v>
      </c>
      <c r="R796" t="s">
        <v>23</v>
      </c>
      <c r="S796" t="s">
        <v>2036</v>
      </c>
      <c r="T796" t="s">
        <v>2037</v>
      </c>
    </row>
    <row r="797" spans="1:20" ht="31.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12"/>
        <v>14</v>
      </c>
      <c r="G797" t="s">
        <v>14</v>
      </c>
      <c r="H797">
        <v>31</v>
      </c>
      <c r="I797" s="6"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5">
        <v>42675.208333333336</v>
      </c>
      <c r="O797" s="5">
        <v>42678.208333333336</v>
      </c>
      <c r="P797" t="b">
        <v>0</v>
      </c>
      <c r="Q797" t="b">
        <v>0</v>
      </c>
      <c r="R797" t="s">
        <v>53</v>
      </c>
      <c r="S797" t="s">
        <v>2042</v>
      </c>
      <c r="T797" t="s">
        <v>2045</v>
      </c>
    </row>
    <row r="798" spans="1:20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12"/>
        <v>55</v>
      </c>
      <c r="G798" t="s">
        <v>14</v>
      </c>
      <c r="H798">
        <v>78</v>
      </c>
      <c r="I798" s="6"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5">
        <v>41859.208333333336</v>
      </c>
      <c r="O798" s="5">
        <v>41866.208333333336</v>
      </c>
      <c r="P798" t="b">
        <v>0</v>
      </c>
      <c r="Q798" t="b">
        <v>1</v>
      </c>
      <c r="R798" t="s">
        <v>292</v>
      </c>
      <c r="S798" t="s">
        <v>2051</v>
      </c>
      <c r="T798" t="s">
        <v>2062</v>
      </c>
    </row>
    <row r="799" spans="1:20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12"/>
        <v>110</v>
      </c>
      <c r="G799" t="s">
        <v>20</v>
      </c>
      <c r="H799">
        <v>185</v>
      </c>
      <c r="I799" s="6"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5">
        <v>43464.25</v>
      </c>
      <c r="O799" s="5">
        <v>43487.25</v>
      </c>
      <c r="P799" t="b">
        <v>0</v>
      </c>
      <c r="Q799" t="b">
        <v>0</v>
      </c>
      <c r="R799" t="s">
        <v>28</v>
      </c>
      <c r="S799" t="s">
        <v>2038</v>
      </c>
      <c r="T799" t="s">
        <v>2039</v>
      </c>
    </row>
    <row r="800" spans="1:20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12"/>
        <v>188</v>
      </c>
      <c r="G800" t="s">
        <v>20</v>
      </c>
      <c r="H800">
        <v>121</v>
      </c>
      <c r="I800" s="6"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5">
        <v>41060.208333333336</v>
      </c>
      <c r="O800" s="5">
        <v>41088.208333333336</v>
      </c>
      <c r="P800" t="b">
        <v>0</v>
      </c>
      <c r="Q800" t="b">
        <v>1</v>
      </c>
      <c r="R800" t="s">
        <v>33</v>
      </c>
      <c r="S800" t="s">
        <v>2040</v>
      </c>
      <c r="T800" t="s">
        <v>2041</v>
      </c>
    </row>
    <row r="801" spans="1:20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12"/>
        <v>87</v>
      </c>
      <c r="G801" t="s">
        <v>14</v>
      </c>
      <c r="H801">
        <v>1225</v>
      </c>
      <c r="I801" s="6"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5">
        <v>42399.25</v>
      </c>
      <c r="O801" s="5">
        <v>42403.25</v>
      </c>
      <c r="P801" t="b">
        <v>0</v>
      </c>
      <c r="Q801" t="b">
        <v>0</v>
      </c>
      <c r="R801" t="s">
        <v>33</v>
      </c>
      <c r="S801" t="s">
        <v>2040</v>
      </c>
      <c r="T801" t="s">
        <v>2041</v>
      </c>
    </row>
    <row r="802" spans="1:20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12"/>
        <v>1</v>
      </c>
      <c r="G802" t="s">
        <v>14</v>
      </c>
      <c r="H802">
        <v>1</v>
      </c>
      <c r="I802" s="6">
        <v>1</v>
      </c>
      <c r="J802" t="s">
        <v>98</v>
      </c>
      <c r="K802" t="s">
        <v>99</v>
      </c>
      <c r="L802">
        <v>1434085200</v>
      </c>
      <c r="M802">
        <v>1434430800</v>
      </c>
      <c r="N802" s="5">
        <v>42167.208333333336</v>
      </c>
      <c r="O802" s="5">
        <v>42171.208333333336</v>
      </c>
      <c r="P802" t="b">
        <v>0</v>
      </c>
      <c r="Q802" t="b">
        <v>0</v>
      </c>
      <c r="R802" t="s">
        <v>23</v>
      </c>
      <c r="S802" t="s">
        <v>2036</v>
      </c>
      <c r="T802" t="s">
        <v>2037</v>
      </c>
    </row>
    <row r="803" spans="1:20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12"/>
        <v>203</v>
      </c>
      <c r="G803" t="s">
        <v>20</v>
      </c>
      <c r="H803">
        <v>106</v>
      </c>
      <c r="I803" s="6"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5">
        <v>43830.25</v>
      </c>
      <c r="O803" s="5">
        <v>43852.25</v>
      </c>
      <c r="P803" t="b">
        <v>0</v>
      </c>
      <c r="Q803" t="b">
        <v>1</v>
      </c>
      <c r="R803" t="s">
        <v>122</v>
      </c>
      <c r="S803" t="s">
        <v>2055</v>
      </c>
      <c r="T803" t="s">
        <v>2056</v>
      </c>
    </row>
    <row r="804" spans="1:20" ht="31.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12"/>
        <v>197</v>
      </c>
      <c r="G804" t="s">
        <v>20</v>
      </c>
      <c r="H804">
        <v>142</v>
      </c>
      <c r="I804" s="6"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5">
        <v>43650.208333333336</v>
      </c>
      <c r="O804" s="5">
        <v>43652.208333333336</v>
      </c>
      <c r="P804" t="b">
        <v>0</v>
      </c>
      <c r="Q804" t="b">
        <v>0</v>
      </c>
      <c r="R804" t="s">
        <v>122</v>
      </c>
      <c r="S804" t="s">
        <v>2055</v>
      </c>
      <c r="T804" t="s">
        <v>2056</v>
      </c>
    </row>
    <row r="805" spans="1:20" ht="31.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12"/>
        <v>107</v>
      </c>
      <c r="G805" t="s">
        <v>20</v>
      </c>
      <c r="H805">
        <v>233</v>
      </c>
      <c r="I805" s="6"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5">
        <v>43492.25</v>
      </c>
      <c r="O805" s="5">
        <v>43526.25</v>
      </c>
      <c r="P805" t="b">
        <v>0</v>
      </c>
      <c r="Q805" t="b">
        <v>0</v>
      </c>
      <c r="R805" t="s">
        <v>33</v>
      </c>
      <c r="S805" t="s">
        <v>2040</v>
      </c>
      <c r="T805" t="s">
        <v>2041</v>
      </c>
    </row>
    <row r="806" spans="1:20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12"/>
        <v>269</v>
      </c>
      <c r="G806" t="s">
        <v>20</v>
      </c>
      <c r="H806">
        <v>218</v>
      </c>
      <c r="I806" s="6"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5">
        <v>43102.25</v>
      </c>
      <c r="O806" s="5">
        <v>43122.25</v>
      </c>
      <c r="P806" t="b">
        <v>0</v>
      </c>
      <c r="Q806" t="b">
        <v>0</v>
      </c>
      <c r="R806" t="s">
        <v>23</v>
      </c>
      <c r="S806" t="s">
        <v>2036</v>
      </c>
      <c r="T806" t="s">
        <v>2037</v>
      </c>
    </row>
    <row r="807" spans="1:20" ht="31.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12"/>
        <v>51</v>
      </c>
      <c r="G807" t="s">
        <v>14</v>
      </c>
      <c r="H807">
        <v>67</v>
      </c>
      <c r="I807" s="6"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5">
        <v>41958.25</v>
      </c>
      <c r="O807" s="5">
        <v>42009.25</v>
      </c>
      <c r="P807" t="b">
        <v>0</v>
      </c>
      <c r="Q807" t="b">
        <v>0</v>
      </c>
      <c r="R807" t="s">
        <v>42</v>
      </c>
      <c r="S807" t="s">
        <v>2042</v>
      </c>
      <c r="T807" t="s">
        <v>2043</v>
      </c>
    </row>
    <row r="808" spans="1:20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12"/>
        <v>1180</v>
      </c>
      <c r="G808" t="s">
        <v>20</v>
      </c>
      <c r="H808">
        <v>76</v>
      </c>
      <c r="I808" s="6"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5">
        <v>40973.25</v>
      </c>
      <c r="O808" s="5">
        <v>40997.208333333336</v>
      </c>
      <c r="P808" t="b">
        <v>0</v>
      </c>
      <c r="Q808" t="b">
        <v>1</v>
      </c>
      <c r="R808" t="s">
        <v>53</v>
      </c>
      <c r="S808" t="s">
        <v>2042</v>
      </c>
      <c r="T808" t="s">
        <v>2045</v>
      </c>
    </row>
    <row r="809" spans="1:20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12"/>
        <v>264</v>
      </c>
      <c r="G809" t="s">
        <v>20</v>
      </c>
      <c r="H809">
        <v>43</v>
      </c>
      <c r="I809" s="6"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5">
        <v>43753.208333333336</v>
      </c>
      <c r="O809" s="5">
        <v>43797.25</v>
      </c>
      <c r="P809" t="b">
        <v>0</v>
      </c>
      <c r="Q809" t="b">
        <v>1</v>
      </c>
      <c r="R809" t="s">
        <v>33</v>
      </c>
      <c r="S809" t="s">
        <v>2040</v>
      </c>
      <c r="T809" t="s">
        <v>2041</v>
      </c>
    </row>
    <row r="810" spans="1:20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12"/>
        <v>30</v>
      </c>
      <c r="G810" t="s">
        <v>14</v>
      </c>
      <c r="H810">
        <v>19</v>
      </c>
      <c r="I810" s="6"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5">
        <v>42507.208333333336</v>
      </c>
      <c r="O810" s="5">
        <v>42524.208333333336</v>
      </c>
      <c r="P810" t="b">
        <v>0</v>
      </c>
      <c r="Q810" t="b">
        <v>0</v>
      </c>
      <c r="R810" t="s">
        <v>17</v>
      </c>
      <c r="S810" t="s">
        <v>2034</v>
      </c>
      <c r="T810" t="s">
        <v>2035</v>
      </c>
    </row>
    <row r="811" spans="1:20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12"/>
        <v>63</v>
      </c>
      <c r="G811" t="s">
        <v>14</v>
      </c>
      <c r="H811">
        <v>2108</v>
      </c>
      <c r="I811" s="6">
        <v>42</v>
      </c>
      <c r="J811" t="s">
        <v>98</v>
      </c>
      <c r="K811" t="s">
        <v>99</v>
      </c>
      <c r="L811">
        <v>1344920400</v>
      </c>
      <c r="M811">
        <v>1345006800</v>
      </c>
      <c r="N811" s="5">
        <v>41135.208333333336</v>
      </c>
      <c r="O811" s="5">
        <v>41136.208333333336</v>
      </c>
      <c r="P811" t="b">
        <v>0</v>
      </c>
      <c r="Q811" t="b">
        <v>0</v>
      </c>
      <c r="R811" t="s">
        <v>42</v>
      </c>
      <c r="S811" t="s">
        <v>2042</v>
      </c>
      <c r="T811" t="s">
        <v>2043</v>
      </c>
    </row>
    <row r="812" spans="1:20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12"/>
        <v>193</v>
      </c>
      <c r="G812" t="s">
        <v>20</v>
      </c>
      <c r="H812">
        <v>221</v>
      </c>
      <c r="I812" s="6"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5">
        <v>43067.25</v>
      </c>
      <c r="O812" s="5">
        <v>43077.25</v>
      </c>
      <c r="P812" t="b">
        <v>0</v>
      </c>
      <c r="Q812" t="b">
        <v>1</v>
      </c>
      <c r="R812" t="s">
        <v>33</v>
      </c>
      <c r="S812" t="s">
        <v>2040</v>
      </c>
      <c r="T812" t="s">
        <v>2041</v>
      </c>
    </row>
    <row r="813" spans="1:20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12"/>
        <v>77</v>
      </c>
      <c r="G813" t="s">
        <v>14</v>
      </c>
      <c r="H813">
        <v>679</v>
      </c>
      <c r="I813" s="6"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5">
        <v>42378.25</v>
      </c>
      <c r="O813" s="5">
        <v>42380.25</v>
      </c>
      <c r="P813" t="b">
        <v>0</v>
      </c>
      <c r="Q813" t="b">
        <v>1</v>
      </c>
      <c r="R813" t="s">
        <v>89</v>
      </c>
      <c r="S813" t="s">
        <v>2051</v>
      </c>
      <c r="T813" t="s">
        <v>2052</v>
      </c>
    </row>
    <row r="814" spans="1:20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12"/>
        <v>226</v>
      </c>
      <c r="G814" t="s">
        <v>20</v>
      </c>
      <c r="H814">
        <v>2805</v>
      </c>
      <c r="I814" s="6">
        <v>48</v>
      </c>
      <c r="J814" t="s">
        <v>15</v>
      </c>
      <c r="K814" t="s">
        <v>16</v>
      </c>
      <c r="L814">
        <v>1523854800</v>
      </c>
      <c r="M814">
        <v>1524286800</v>
      </c>
      <c r="N814" s="5">
        <v>43206.208333333336</v>
      </c>
      <c r="O814" s="5">
        <v>43211.208333333336</v>
      </c>
      <c r="P814" t="b">
        <v>0</v>
      </c>
      <c r="Q814" t="b">
        <v>0</v>
      </c>
      <c r="R814" t="s">
        <v>68</v>
      </c>
      <c r="S814" t="s">
        <v>2048</v>
      </c>
      <c r="T814" t="s">
        <v>2049</v>
      </c>
    </row>
    <row r="815" spans="1:20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12"/>
        <v>239</v>
      </c>
      <c r="G815" t="s">
        <v>20</v>
      </c>
      <c r="H815">
        <v>68</v>
      </c>
      <c r="I815" s="6"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5">
        <v>41148.208333333336</v>
      </c>
      <c r="O815" s="5">
        <v>41158.208333333336</v>
      </c>
      <c r="P815" t="b">
        <v>0</v>
      </c>
      <c r="Q815" t="b">
        <v>0</v>
      </c>
      <c r="R815" t="s">
        <v>89</v>
      </c>
      <c r="S815" t="s">
        <v>2051</v>
      </c>
      <c r="T815" t="s">
        <v>2052</v>
      </c>
    </row>
    <row r="816" spans="1:20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12"/>
        <v>92</v>
      </c>
      <c r="G816" t="s">
        <v>14</v>
      </c>
      <c r="H816">
        <v>36</v>
      </c>
      <c r="I816" s="6"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5">
        <v>42517.208333333336</v>
      </c>
      <c r="O816" s="5">
        <v>42519.208333333336</v>
      </c>
      <c r="P816" t="b">
        <v>0</v>
      </c>
      <c r="Q816" t="b">
        <v>1</v>
      </c>
      <c r="R816" t="s">
        <v>23</v>
      </c>
      <c r="S816" t="s">
        <v>2036</v>
      </c>
      <c r="T816" t="s">
        <v>2037</v>
      </c>
    </row>
    <row r="817" spans="1:20" ht="31.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12"/>
        <v>130</v>
      </c>
      <c r="G817" t="s">
        <v>20</v>
      </c>
      <c r="H817">
        <v>183</v>
      </c>
      <c r="I817" s="6"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5">
        <v>43068.25</v>
      </c>
      <c r="O817" s="5">
        <v>43094.25</v>
      </c>
      <c r="P817" t="b">
        <v>0</v>
      </c>
      <c r="Q817" t="b">
        <v>0</v>
      </c>
      <c r="R817" t="s">
        <v>23</v>
      </c>
      <c r="S817" t="s">
        <v>2036</v>
      </c>
      <c r="T817" t="s">
        <v>2037</v>
      </c>
    </row>
    <row r="818" spans="1:20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12"/>
        <v>615</v>
      </c>
      <c r="G818" t="s">
        <v>20</v>
      </c>
      <c r="H818">
        <v>133</v>
      </c>
      <c r="I818" s="6"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5">
        <v>41680.25</v>
      </c>
      <c r="O818" s="5">
        <v>41682.25</v>
      </c>
      <c r="P818" t="b">
        <v>1</v>
      </c>
      <c r="Q818" t="b">
        <v>1</v>
      </c>
      <c r="R818" t="s">
        <v>33</v>
      </c>
      <c r="S818" t="s">
        <v>2040</v>
      </c>
      <c r="T818" t="s">
        <v>2041</v>
      </c>
    </row>
    <row r="819" spans="1:20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12"/>
        <v>369</v>
      </c>
      <c r="G819" t="s">
        <v>20</v>
      </c>
      <c r="H819">
        <v>2489</v>
      </c>
      <c r="I819" s="6"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5">
        <v>43589.208333333336</v>
      </c>
      <c r="O819" s="5">
        <v>43617.208333333336</v>
      </c>
      <c r="P819" t="b">
        <v>0</v>
      </c>
      <c r="Q819" t="b">
        <v>1</v>
      </c>
      <c r="R819" t="s">
        <v>68</v>
      </c>
      <c r="S819" t="s">
        <v>2048</v>
      </c>
      <c r="T819" t="s">
        <v>2049</v>
      </c>
    </row>
    <row r="820" spans="1:20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12"/>
        <v>1095</v>
      </c>
      <c r="G820" t="s">
        <v>20</v>
      </c>
      <c r="H820">
        <v>69</v>
      </c>
      <c r="I820" s="6"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5">
        <v>43486.25</v>
      </c>
      <c r="O820" s="5">
        <v>43499.25</v>
      </c>
      <c r="P820" t="b">
        <v>0</v>
      </c>
      <c r="Q820" t="b">
        <v>1</v>
      </c>
      <c r="R820" t="s">
        <v>33</v>
      </c>
      <c r="S820" t="s">
        <v>2040</v>
      </c>
      <c r="T820" t="s">
        <v>2041</v>
      </c>
    </row>
    <row r="821" spans="1:20" ht="31.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12"/>
        <v>51</v>
      </c>
      <c r="G821" t="s">
        <v>14</v>
      </c>
      <c r="H821">
        <v>47</v>
      </c>
      <c r="I821" s="6"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5">
        <v>41237.25</v>
      </c>
      <c r="O821" s="5">
        <v>41252.25</v>
      </c>
      <c r="P821" t="b">
        <v>1</v>
      </c>
      <c r="Q821" t="b">
        <v>0</v>
      </c>
      <c r="R821" t="s">
        <v>89</v>
      </c>
      <c r="S821" t="s">
        <v>2051</v>
      </c>
      <c r="T821" t="s">
        <v>2052</v>
      </c>
    </row>
    <row r="822" spans="1:20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12"/>
        <v>801</v>
      </c>
      <c r="G822" t="s">
        <v>20</v>
      </c>
      <c r="H822">
        <v>279</v>
      </c>
      <c r="I822" s="6"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5">
        <v>43310.208333333336</v>
      </c>
      <c r="O822" s="5">
        <v>43323.208333333336</v>
      </c>
      <c r="P822" t="b">
        <v>0</v>
      </c>
      <c r="Q822" t="b">
        <v>1</v>
      </c>
      <c r="R822" t="s">
        <v>23</v>
      </c>
      <c r="S822" t="s">
        <v>2036</v>
      </c>
      <c r="T822" t="s">
        <v>2037</v>
      </c>
    </row>
    <row r="823" spans="1:20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12"/>
        <v>291</v>
      </c>
      <c r="G823" t="s">
        <v>20</v>
      </c>
      <c r="H823">
        <v>210</v>
      </c>
      <c r="I823" s="6"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5">
        <v>42794.25</v>
      </c>
      <c r="O823" s="5">
        <v>42807.208333333336</v>
      </c>
      <c r="P823" t="b">
        <v>0</v>
      </c>
      <c r="Q823" t="b">
        <v>0</v>
      </c>
      <c r="R823" t="s">
        <v>42</v>
      </c>
      <c r="S823" t="s">
        <v>2042</v>
      </c>
      <c r="T823" t="s">
        <v>2043</v>
      </c>
    </row>
    <row r="824" spans="1:20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12"/>
        <v>350</v>
      </c>
      <c r="G824" t="s">
        <v>20</v>
      </c>
      <c r="H824">
        <v>2100</v>
      </c>
      <c r="I824" s="6"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5">
        <v>41698.25</v>
      </c>
      <c r="O824" s="5">
        <v>41715.208333333336</v>
      </c>
      <c r="P824" t="b">
        <v>0</v>
      </c>
      <c r="Q824" t="b">
        <v>0</v>
      </c>
      <c r="R824" t="s">
        <v>23</v>
      </c>
      <c r="S824" t="s">
        <v>2036</v>
      </c>
      <c r="T824" t="s">
        <v>2037</v>
      </c>
    </row>
    <row r="825" spans="1:20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12"/>
        <v>357</v>
      </c>
      <c r="G825" t="s">
        <v>20</v>
      </c>
      <c r="H825">
        <v>252</v>
      </c>
      <c r="I825" s="6"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5">
        <v>41892.208333333336</v>
      </c>
      <c r="O825" s="5">
        <v>41917.208333333336</v>
      </c>
      <c r="P825" t="b">
        <v>1</v>
      </c>
      <c r="Q825" t="b">
        <v>1</v>
      </c>
      <c r="R825" t="s">
        <v>23</v>
      </c>
      <c r="S825" t="s">
        <v>2036</v>
      </c>
      <c r="T825" t="s">
        <v>2037</v>
      </c>
    </row>
    <row r="826" spans="1:20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12"/>
        <v>126</v>
      </c>
      <c r="G826" t="s">
        <v>20</v>
      </c>
      <c r="H826">
        <v>1280</v>
      </c>
      <c r="I826" s="6"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5">
        <v>40348.208333333336</v>
      </c>
      <c r="O826" s="5">
        <v>40380.208333333336</v>
      </c>
      <c r="P826" t="b">
        <v>0</v>
      </c>
      <c r="Q826" t="b">
        <v>1</v>
      </c>
      <c r="R826" t="s">
        <v>68</v>
      </c>
      <c r="S826" t="s">
        <v>2048</v>
      </c>
      <c r="T826" t="s">
        <v>2049</v>
      </c>
    </row>
    <row r="827" spans="1:20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12"/>
        <v>388</v>
      </c>
      <c r="G827" t="s">
        <v>20</v>
      </c>
      <c r="H827">
        <v>157</v>
      </c>
      <c r="I827" s="6"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5">
        <v>42941.208333333336</v>
      </c>
      <c r="O827" s="5">
        <v>42953.208333333336</v>
      </c>
      <c r="P827" t="b">
        <v>0</v>
      </c>
      <c r="Q827" t="b">
        <v>0</v>
      </c>
      <c r="R827" t="s">
        <v>100</v>
      </c>
      <c r="S827" t="s">
        <v>2042</v>
      </c>
      <c r="T827" t="s">
        <v>2053</v>
      </c>
    </row>
    <row r="828" spans="1:20" ht="31.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12"/>
        <v>457</v>
      </c>
      <c r="G828" t="s">
        <v>20</v>
      </c>
      <c r="H828">
        <v>194</v>
      </c>
      <c r="I828" s="6"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5">
        <v>40525.25</v>
      </c>
      <c r="O828" s="5">
        <v>40553.25</v>
      </c>
      <c r="P828" t="b">
        <v>0</v>
      </c>
      <c r="Q828" t="b">
        <v>1</v>
      </c>
      <c r="R828" t="s">
        <v>33</v>
      </c>
      <c r="S828" t="s">
        <v>2040</v>
      </c>
      <c r="T828" t="s">
        <v>2041</v>
      </c>
    </row>
    <row r="829" spans="1:20" ht="31.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12"/>
        <v>267</v>
      </c>
      <c r="G829" t="s">
        <v>20</v>
      </c>
      <c r="H829">
        <v>82</v>
      </c>
      <c r="I829" s="6"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5">
        <v>40666.208333333336</v>
      </c>
      <c r="O829" s="5">
        <v>40678.208333333336</v>
      </c>
      <c r="P829" t="b">
        <v>0</v>
      </c>
      <c r="Q829" t="b">
        <v>1</v>
      </c>
      <c r="R829" t="s">
        <v>53</v>
      </c>
      <c r="S829" t="s">
        <v>2042</v>
      </c>
      <c r="T829" t="s">
        <v>2045</v>
      </c>
    </row>
    <row r="830" spans="1:20" ht="31.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12"/>
        <v>69</v>
      </c>
      <c r="G830" t="s">
        <v>14</v>
      </c>
      <c r="H830">
        <v>70</v>
      </c>
      <c r="I830" s="6"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5">
        <v>43340.208333333336</v>
      </c>
      <c r="O830" s="5">
        <v>43365.208333333336</v>
      </c>
      <c r="P830" t="b">
        <v>0</v>
      </c>
      <c r="Q830" t="b">
        <v>0</v>
      </c>
      <c r="R830" t="s">
        <v>33</v>
      </c>
      <c r="S830" t="s">
        <v>2040</v>
      </c>
      <c r="T830" t="s">
        <v>2041</v>
      </c>
    </row>
    <row r="831" spans="1:20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12"/>
        <v>51</v>
      </c>
      <c r="G831" t="s">
        <v>14</v>
      </c>
      <c r="H831">
        <v>154</v>
      </c>
      <c r="I831" s="6"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5">
        <v>42164.208333333336</v>
      </c>
      <c r="O831" s="5">
        <v>42179.208333333336</v>
      </c>
      <c r="P831" t="b">
        <v>0</v>
      </c>
      <c r="Q831" t="b">
        <v>0</v>
      </c>
      <c r="R831" t="s">
        <v>33</v>
      </c>
      <c r="S831" t="s">
        <v>2040</v>
      </c>
      <c r="T831" t="s">
        <v>2041</v>
      </c>
    </row>
    <row r="832" spans="1:20" ht="31.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12"/>
        <v>1</v>
      </c>
      <c r="G832" t="s">
        <v>14</v>
      </c>
      <c r="H832">
        <v>22</v>
      </c>
      <c r="I832" s="6"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5">
        <v>43103.25</v>
      </c>
      <c r="O832" s="5">
        <v>43162.25</v>
      </c>
      <c r="P832" t="b">
        <v>0</v>
      </c>
      <c r="Q832" t="b">
        <v>0</v>
      </c>
      <c r="R832" t="s">
        <v>33</v>
      </c>
      <c r="S832" t="s">
        <v>2040</v>
      </c>
      <c r="T832" t="s">
        <v>2041</v>
      </c>
    </row>
    <row r="833" spans="1:20" ht="31.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12"/>
        <v>109</v>
      </c>
      <c r="G833" t="s">
        <v>20</v>
      </c>
      <c r="H833">
        <v>4233</v>
      </c>
      <c r="I833" s="6"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5">
        <v>40994.208333333336</v>
      </c>
      <c r="O833" s="5">
        <v>41028.208333333336</v>
      </c>
      <c r="P833" t="b">
        <v>0</v>
      </c>
      <c r="Q833" t="b">
        <v>0</v>
      </c>
      <c r="R833" t="s">
        <v>122</v>
      </c>
      <c r="S833" t="s">
        <v>2055</v>
      </c>
      <c r="T833" t="s">
        <v>2056</v>
      </c>
    </row>
    <row r="834" spans="1:20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12"/>
        <v>315</v>
      </c>
      <c r="G834" t="s">
        <v>20</v>
      </c>
      <c r="H834">
        <v>1297</v>
      </c>
      <c r="I834" s="6"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5">
        <v>42299.208333333336</v>
      </c>
      <c r="O834" s="5">
        <v>42333.25</v>
      </c>
      <c r="P834" t="b">
        <v>1</v>
      </c>
      <c r="Q834" t="b">
        <v>0</v>
      </c>
      <c r="R834" t="s">
        <v>206</v>
      </c>
      <c r="S834" t="s">
        <v>2048</v>
      </c>
      <c r="T834" t="s">
        <v>2060</v>
      </c>
    </row>
    <row r="835" spans="1:20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si="12"/>
        <v>158</v>
      </c>
      <c r="G835" t="s">
        <v>20</v>
      </c>
      <c r="H835">
        <v>165</v>
      </c>
      <c r="I835" s="6"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5">
        <v>40588.25</v>
      </c>
      <c r="O835" s="5">
        <v>40599.25</v>
      </c>
      <c r="P835" t="b">
        <v>0</v>
      </c>
      <c r="Q835" t="b">
        <v>0</v>
      </c>
      <c r="R835" t="s">
        <v>206</v>
      </c>
      <c r="S835" t="s">
        <v>2048</v>
      </c>
      <c r="T835" t="s">
        <v>2060</v>
      </c>
    </row>
    <row r="836" spans="1:20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ref="F836:F899" si="13">ROUND(E836/D836*100,0)</f>
        <v>154</v>
      </c>
      <c r="G836" t="s">
        <v>20</v>
      </c>
      <c r="H836">
        <v>119</v>
      </c>
      <c r="I836" s="6"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5">
        <v>41448.208333333336</v>
      </c>
      <c r="O836" s="5">
        <v>41454.208333333336</v>
      </c>
      <c r="P836" t="b">
        <v>0</v>
      </c>
      <c r="Q836" t="b">
        <v>0</v>
      </c>
      <c r="R836" t="s">
        <v>33</v>
      </c>
      <c r="S836" t="s">
        <v>2040</v>
      </c>
      <c r="T836" t="s">
        <v>2041</v>
      </c>
    </row>
    <row r="837" spans="1:20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13"/>
        <v>90</v>
      </c>
      <c r="G837" t="s">
        <v>14</v>
      </c>
      <c r="H837">
        <v>1758</v>
      </c>
      <c r="I837" s="6"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5">
        <v>42063.25</v>
      </c>
      <c r="O837" s="5">
        <v>42069.25</v>
      </c>
      <c r="P837" t="b">
        <v>0</v>
      </c>
      <c r="Q837" t="b">
        <v>0</v>
      </c>
      <c r="R837" t="s">
        <v>28</v>
      </c>
      <c r="S837" t="s">
        <v>2038</v>
      </c>
      <c r="T837" t="s">
        <v>2039</v>
      </c>
    </row>
    <row r="838" spans="1:20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13"/>
        <v>75</v>
      </c>
      <c r="G838" t="s">
        <v>14</v>
      </c>
      <c r="H838">
        <v>94</v>
      </c>
      <c r="I838" s="6"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5">
        <v>40214.25</v>
      </c>
      <c r="O838" s="5">
        <v>40225.25</v>
      </c>
      <c r="P838" t="b">
        <v>0</v>
      </c>
      <c r="Q838" t="b">
        <v>0</v>
      </c>
      <c r="R838" t="s">
        <v>60</v>
      </c>
      <c r="S838" t="s">
        <v>2036</v>
      </c>
      <c r="T838" t="s">
        <v>2046</v>
      </c>
    </row>
    <row r="839" spans="1:20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13"/>
        <v>853</v>
      </c>
      <c r="G839" t="s">
        <v>20</v>
      </c>
      <c r="H839">
        <v>1797</v>
      </c>
      <c r="I839" s="6"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5">
        <v>40629.208333333336</v>
      </c>
      <c r="O839" s="5">
        <v>40683.208333333336</v>
      </c>
      <c r="P839" t="b">
        <v>0</v>
      </c>
      <c r="Q839" t="b">
        <v>0</v>
      </c>
      <c r="R839" t="s">
        <v>159</v>
      </c>
      <c r="S839" t="s">
        <v>2036</v>
      </c>
      <c r="T839" t="s">
        <v>2059</v>
      </c>
    </row>
    <row r="840" spans="1:20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13"/>
        <v>139</v>
      </c>
      <c r="G840" t="s">
        <v>20</v>
      </c>
      <c r="H840">
        <v>261</v>
      </c>
      <c r="I840" s="6"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5">
        <v>43370.208333333336</v>
      </c>
      <c r="O840" s="5">
        <v>43379.208333333336</v>
      </c>
      <c r="P840" t="b">
        <v>0</v>
      </c>
      <c r="Q840" t="b">
        <v>0</v>
      </c>
      <c r="R840" t="s">
        <v>33</v>
      </c>
      <c r="S840" t="s">
        <v>2040</v>
      </c>
      <c r="T840" t="s">
        <v>2041</v>
      </c>
    </row>
    <row r="841" spans="1:20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13"/>
        <v>190</v>
      </c>
      <c r="G841" t="s">
        <v>20</v>
      </c>
      <c r="H841">
        <v>157</v>
      </c>
      <c r="I841" s="6"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5">
        <v>41715.208333333336</v>
      </c>
      <c r="O841" s="5">
        <v>41760.208333333336</v>
      </c>
      <c r="P841" t="b">
        <v>0</v>
      </c>
      <c r="Q841" t="b">
        <v>1</v>
      </c>
      <c r="R841" t="s">
        <v>42</v>
      </c>
      <c r="S841" t="s">
        <v>2042</v>
      </c>
      <c r="T841" t="s">
        <v>2043</v>
      </c>
    </row>
    <row r="842" spans="1:20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13"/>
        <v>100</v>
      </c>
      <c r="G842" t="s">
        <v>20</v>
      </c>
      <c r="H842">
        <v>3533</v>
      </c>
      <c r="I842" s="6"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5">
        <v>41836.208333333336</v>
      </c>
      <c r="O842" s="5">
        <v>41838.208333333336</v>
      </c>
      <c r="P842" t="b">
        <v>0</v>
      </c>
      <c r="Q842" t="b">
        <v>1</v>
      </c>
      <c r="R842" t="s">
        <v>33</v>
      </c>
      <c r="S842" t="s">
        <v>2040</v>
      </c>
      <c r="T842" t="s">
        <v>2041</v>
      </c>
    </row>
    <row r="843" spans="1:20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13"/>
        <v>143</v>
      </c>
      <c r="G843" t="s">
        <v>20</v>
      </c>
      <c r="H843">
        <v>155</v>
      </c>
      <c r="I843" s="6"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5">
        <v>42419.25</v>
      </c>
      <c r="O843" s="5">
        <v>42435.25</v>
      </c>
      <c r="P843" t="b">
        <v>0</v>
      </c>
      <c r="Q843" t="b">
        <v>0</v>
      </c>
      <c r="R843" t="s">
        <v>28</v>
      </c>
      <c r="S843" t="s">
        <v>2038</v>
      </c>
      <c r="T843" t="s">
        <v>2039</v>
      </c>
    </row>
    <row r="844" spans="1:20" ht="31.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13"/>
        <v>563</v>
      </c>
      <c r="G844" t="s">
        <v>20</v>
      </c>
      <c r="H844">
        <v>132</v>
      </c>
      <c r="I844" s="6"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5">
        <v>43266.208333333336</v>
      </c>
      <c r="O844" s="5">
        <v>43269.208333333336</v>
      </c>
      <c r="P844" t="b">
        <v>0</v>
      </c>
      <c r="Q844" t="b">
        <v>0</v>
      </c>
      <c r="R844" t="s">
        <v>65</v>
      </c>
      <c r="S844" t="s">
        <v>2038</v>
      </c>
      <c r="T844" t="s">
        <v>2047</v>
      </c>
    </row>
    <row r="845" spans="1:20" ht="31.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13"/>
        <v>31</v>
      </c>
      <c r="G845" t="s">
        <v>14</v>
      </c>
      <c r="H845">
        <v>33</v>
      </c>
      <c r="I845" s="6"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5">
        <v>43338.208333333336</v>
      </c>
      <c r="O845" s="5">
        <v>43344.208333333336</v>
      </c>
      <c r="P845" t="b">
        <v>0</v>
      </c>
      <c r="Q845" t="b">
        <v>0</v>
      </c>
      <c r="R845" t="s">
        <v>122</v>
      </c>
      <c r="S845" t="s">
        <v>2055</v>
      </c>
      <c r="T845" t="s">
        <v>2056</v>
      </c>
    </row>
    <row r="846" spans="1:20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13"/>
        <v>99</v>
      </c>
      <c r="G846" t="s">
        <v>74</v>
      </c>
      <c r="H846">
        <v>94</v>
      </c>
      <c r="I846" s="6"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5">
        <v>40930.25</v>
      </c>
      <c r="O846" s="5">
        <v>40933.25</v>
      </c>
      <c r="P846" t="b">
        <v>0</v>
      </c>
      <c r="Q846" t="b">
        <v>0</v>
      </c>
      <c r="R846" t="s">
        <v>42</v>
      </c>
      <c r="S846" t="s">
        <v>2042</v>
      </c>
      <c r="T846" t="s">
        <v>2043</v>
      </c>
    </row>
    <row r="847" spans="1:20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13"/>
        <v>198</v>
      </c>
      <c r="G847" t="s">
        <v>20</v>
      </c>
      <c r="H847">
        <v>1354</v>
      </c>
      <c r="I847" s="6"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5">
        <v>43235.208333333336</v>
      </c>
      <c r="O847" s="5">
        <v>43272.208333333336</v>
      </c>
      <c r="P847" t="b">
        <v>0</v>
      </c>
      <c r="Q847" t="b">
        <v>0</v>
      </c>
      <c r="R847" t="s">
        <v>28</v>
      </c>
      <c r="S847" t="s">
        <v>2038</v>
      </c>
      <c r="T847" t="s">
        <v>2039</v>
      </c>
    </row>
    <row r="848" spans="1:20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13"/>
        <v>509</v>
      </c>
      <c r="G848" t="s">
        <v>20</v>
      </c>
      <c r="H848">
        <v>48</v>
      </c>
      <c r="I848" s="6">
        <v>105.9375</v>
      </c>
      <c r="J848" t="s">
        <v>21</v>
      </c>
      <c r="K848" t="s">
        <v>22</v>
      </c>
      <c r="L848">
        <v>1532149200</v>
      </c>
      <c r="M848">
        <v>1535259600</v>
      </c>
      <c r="N848" s="5">
        <v>43302.208333333336</v>
      </c>
      <c r="O848" s="5">
        <v>43338.208333333336</v>
      </c>
      <c r="P848" t="b">
        <v>1</v>
      </c>
      <c r="Q848" t="b">
        <v>1</v>
      </c>
      <c r="R848" t="s">
        <v>28</v>
      </c>
      <c r="S848" t="s">
        <v>2038</v>
      </c>
      <c r="T848" t="s">
        <v>2039</v>
      </c>
    </row>
    <row r="849" spans="1:20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13"/>
        <v>238</v>
      </c>
      <c r="G849" t="s">
        <v>20</v>
      </c>
      <c r="H849">
        <v>110</v>
      </c>
      <c r="I849" s="6"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5">
        <v>43107.25</v>
      </c>
      <c r="O849" s="5">
        <v>43110.25</v>
      </c>
      <c r="P849" t="b">
        <v>0</v>
      </c>
      <c r="Q849" t="b">
        <v>0</v>
      </c>
      <c r="R849" t="s">
        <v>17</v>
      </c>
      <c r="S849" t="s">
        <v>2034</v>
      </c>
      <c r="T849" t="s">
        <v>2035</v>
      </c>
    </row>
    <row r="850" spans="1:20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13"/>
        <v>338</v>
      </c>
      <c r="G850" t="s">
        <v>20</v>
      </c>
      <c r="H850">
        <v>172</v>
      </c>
      <c r="I850" s="6"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5">
        <v>40341.208333333336</v>
      </c>
      <c r="O850" s="5">
        <v>40350.208333333336</v>
      </c>
      <c r="P850" t="b">
        <v>0</v>
      </c>
      <c r="Q850" t="b">
        <v>0</v>
      </c>
      <c r="R850" t="s">
        <v>53</v>
      </c>
      <c r="S850" t="s">
        <v>2042</v>
      </c>
      <c r="T850" t="s">
        <v>2045</v>
      </c>
    </row>
    <row r="851" spans="1:20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13"/>
        <v>133</v>
      </c>
      <c r="G851" t="s">
        <v>20</v>
      </c>
      <c r="H851">
        <v>307</v>
      </c>
      <c r="I851" s="6"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5">
        <v>40948.25</v>
      </c>
      <c r="O851" s="5">
        <v>40951.25</v>
      </c>
      <c r="P851" t="b">
        <v>0</v>
      </c>
      <c r="Q851" t="b">
        <v>1</v>
      </c>
      <c r="R851" t="s">
        <v>60</v>
      </c>
      <c r="S851" t="s">
        <v>2036</v>
      </c>
      <c r="T851" t="s">
        <v>2046</v>
      </c>
    </row>
    <row r="852" spans="1:20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13"/>
        <v>1</v>
      </c>
      <c r="G852" t="s">
        <v>14</v>
      </c>
      <c r="H852">
        <v>1</v>
      </c>
      <c r="I852" s="6">
        <v>1</v>
      </c>
      <c r="J852" t="s">
        <v>21</v>
      </c>
      <c r="K852" t="s">
        <v>22</v>
      </c>
      <c r="L852">
        <v>1321682400</v>
      </c>
      <c r="M852">
        <v>1322978400</v>
      </c>
      <c r="N852" s="5">
        <v>40866.25</v>
      </c>
      <c r="O852" s="5">
        <v>40881.25</v>
      </c>
      <c r="P852" t="b">
        <v>1</v>
      </c>
      <c r="Q852" t="b">
        <v>0</v>
      </c>
      <c r="R852" t="s">
        <v>23</v>
      </c>
      <c r="S852" t="s">
        <v>2036</v>
      </c>
      <c r="T852" t="s">
        <v>2037</v>
      </c>
    </row>
    <row r="853" spans="1:20" ht="31.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13"/>
        <v>208</v>
      </c>
      <c r="G853" t="s">
        <v>20</v>
      </c>
      <c r="H853">
        <v>160</v>
      </c>
      <c r="I853" s="6"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5">
        <v>41031.208333333336</v>
      </c>
      <c r="O853" s="5">
        <v>41064.208333333336</v>
      </c>
      <c r="P853" t="b">
        <v>0</v>
      </c>
      <c r="Q853" t="b">
        <v>0</v>
      </c>
      <c r="R853" t="s">
        <v>50</v>
      </c>
      <c r="S853" t="s">
        <v>2036</v>
      </c>
      <c r="T853" t="s">
        <v>2044</v>
      </c>
    </row>
    <row r="854" spans="1:20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13"/>
        <v>51</v>
      </c>
      <c r="G854" t="s">
        <v>14</v>
      </c>
      <c r="H854">
        <v>31</v>
      </c>
      <c r="I854" s="6"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5">
        <v>40740.208333333336</v>
      </c>
      <c r="O854" s="5">
        <v>40750.208333333336</v>
      </c>
      <c r="P854" t="b">
        <v>0</v>
      </c>
      <c r="Q854" t="b">
        <v>1</v>
      </c>
      <c r="R854" t="s">
        <v>89</v>
      </c>
      <c r="S854" t="s">
        <v>2051</v>
      </c>
      <c r="T854" t="s">
        <v>2052</v>
      </c>
    </row>
    <row r="855" spans="1:20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13"/>
        <v>652</v>
      </c>
      <c r="G855" t="s">
        <v>20</v>
      </c>
      <c r="H855">
        <v>1467</v>
      </c>
      <c r="I855" s="6"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5">
        <v>40714.208333333336</v>
      </c>
      <c r="O855" s="5">
        <v>40719.208333333336</v>
      </c>
      <c r="P855" t="b">
        <v>0</v>
      </c>
      <c r="Q855" t="b">
        <v>1</v>
      </c>
      <c r="R855" t="s">
        <v>60</v>
      </c>
      <c r="S855" t="s">
        <v>2036</v>
      </c>
      <c r="T855" t="s">
        <v>2046</v>
      </c>
    </row>
    <row r="856" spans="1:20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13"/>
        <v>114</v>
      </c>
      <c r="G856" t="s">
        <v>20</v>
      </c>
      <c r="H856">
        <v>2662</v>
      </c>
      <c r="I856" s="6"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5">
        <v>43787.25</v>
      </c>
      <c r="O856" s="5">
        <v>43814.25</v>
      </c>
      <c r="P856" t="b">
        <v>0</v>
      </c>
      <c r="Q856" t="b">
        <v>0</v>
      </c>
      <c r="R856" t="s">
        <v>119</v>
      </c>
      <c r="S856" t="s">
        <v>2048</v>
      </c>
      <c r="T856" t="s">
        <v>2054</v>
      </c>
    </row>
    <row r="857" spans="1:20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13"/>
        <v>102</v>
      </c>
      <c r="G857" t="s">
        <v>20</v>
      </c>
      <c r="H857">
        <v>452</v>
      </c>
      <c r="I857" s="6">
        <v>53</v>
      </c>
      <c r="J857" t="s">
        <v>26</v>
      </c>
      <c r="K857" t="s">
        <v>27</v>
      </c>
      <c r="L857">
        <v>1308373200</v>
      </c>
      <c r="M857">
        <v>1311051600</v>
      </c>
      <c r="N857" s="5">
        <v>40712.208333333336</v>
      </c>
      <c r="O857" s="5">
        <v>40743.208333333336</v>
      </c>
      <c r="P857" t="b">
        <v>0</v>
      </c>
      <c r="Q857" t="b">
        <v>0</v>
      </c>
      <c r="R857" t="s">
        <v>33</v>
      </c>
      <c r="S857" t="s">
        <v>2040</v>
      </c>
      <c r="T857" t="s">
        <v>2041</v>
      </c>
    </row>
    <row r="858" spans="1:20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13"/>
        <v>357</v>
      </c>
      <c r="G858" t="s">
        <v>20</v>
      </c>
      <c r="H858">
        <v>158</v>
      </c>
      <c r="I858" s="6"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5">
        <v>41023.208333333336</v>
      </c>
      <c r="O858" s="5">
        <v>41040.208333333336</v>
      </c>
      <c r="P858" t="b">
        <v>0</v>
      </c>
      <c r="Q858" t="b">
        <v>0</v>
      </c>
      <c r="R858" t="s">
        <v>17</v>
      </c>
      <c r="S858" t="s">
        <v>2034</v>
      </c>
      <c r="T858" t="s">
        <v>2035</v>
      </c>
    </row>
    <row r="859" spans="1:20" ht="31.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13"/>
        <v>140</v>
      </c>
      <c r="G859" t="s">
        <v>20</v>
      </c>
      <c r="H859">
        <v>225</v>
      </c>
      <c r="I859" s="6"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5">
        <v>40944.25</v>
      </c>
      <c r="O859" s="5">
        <v>40967.25</v>
      </c>
      <c r="P859" t="b">
        <v>1</v>
      </c>
      <c r="Q859" t="b">
        <v>0</v>
      </c>
      <c r="R859" t="s">
        <v>100</v>
      </c>
      <c r="S859" t="s">
        <v>2042</v>
      </c>
      <c r="T859" t="s">
        <v>2053</v>
      </c>
    </row>
    <row r="860" spans="1:20" ht="31.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13"/>
        <v>69</v>
      </c>
      <c r="G860" t="s">
        <v>14</v>
      </c>
      <c r="H860">
        <v>35</v>
      </c>
      <c r="I860" s="6"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5">
        <v>43211.208333333336</v>
      </c>
      <c r="O860" s="5">
        <v>43218.208333333336</v>
      </c>
      <c r="P860" t="b">
        <v>1</v>
      </c>
      <c r="Q860" t="b">
        <v>0</v>
      </c>
      <c r="R860" t="s">
        <v>17</v>
      </c>
      <c r="S860" t="s">
        <v>2034</v>
      </c>
      <c r="T860" t="s">
        <v>2035</v>
      </c>
    </row>
    <row r="861" spans="1:20" ht="31.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13"/>
        <v>36</v>
      </c>
      <c r="G861" t="s">
        <v>14</v>
      </c>
      <c r="H861">
        <v>63</v>
      </c>
      <c r="I861" s="6"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5">
        <v>41334.25</v>
      </c>
      <c r="O861" s="5">
        <v>41352.208333333336</v>
      </c>
      <c r="P861" t="b">
        <v>0</v>
      </c>
      <c r="Q861" t="b">
        <v>1</v>
      </c>
      <c r="R861" t="s">
        <v>33</v>
      </c>
      <c r="S861" t="s">
        <v>2040</v>
      </c>
      <c r="T861" t="s">
        <v>2041</v>
      </c>
    </row>
    <row r="862" spans="1:20" ht="31.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13"/>
        <v>252</v>
      </c>
      <c r="G862" t="s">
        <v>20</v>
      </c>
      <c r="H862">
        <v>65</v>
      </c>
      <c r="I862" s="6"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5">
        <v>43515.25</v>
      </c>
      <c r="O862" s="5">
        <v>43525.25</v>
      </c>
      <c r="P862" t="b">
        <v>0</v>
      </c>
      <c r="Q862" t="b">
        <v>1</v>
      </c>
      <c r="R862" t="s">
        <v>65</v>
      </c>
      <c r="S862" t="s">
        <v>2038</v>
      </c>
      <c r="T862" t="s">
        <v>2047</v>
      </c>
    </row>
    <row r="863" spans="1:20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13"/>
        <v>106</v>
      </c>
      <c r="G863" t="s">
        <v>20</v>
      </c>
      <c r="H863">
        <v>163</v>
      </c>
      <c r="I863" s="6"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5">
        <v>40258.208333333336</v>
      </c>
      <c r="O863" s="5">
        <v>40266.208333333336</v>
      </c>
      <c r="P863" t="b">
        <v>0</v>
      </c>
      <c r="Q863" t="b">
        <v>0</v>
      </c>
      <c r="R863" t="s">
        <v>33</v>
      </c>
      <c r="S863" t="s">
        <v>2040</v>
      </c>
      <c r="T863" t="s">
        <v>2041</v>
      </c>
    </row>
    <row r="864" spans="1:20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13"/>
        <v>187</v>
      </c>
      <c r="G864" t="s">
        <v>20</v>
      </c>
      <c r="H864">
        <v>85</v>
      </c>
      <c r="I864" s="6"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5">
        <v>40756.208333333336</v>
      </c>
      <c r="O864" s="5">
        <v>40760.208333333336</v>
      </c>
      <c r="P864" t="b">
        <v>0</v>
      </c>
      <c r="Q864" t="b">
        <v>0</v>
      </c>
      <c r="R864" t="s">
        <v>33</v>
      </c>
      <c r="S864" t="s">
        <v>2040</v>
      </c>
      <c r="T864" t="s">
        <v>2041</v>
      </c>
    </row>
    <row r="865" spans="1:20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13"/>
        <v>387</v>
      </c>
      <c r="G865" t="s">
        <v>20</v>
      </c>
      <c r="H865">
        <v>217</v>
      </c>
      <c r="I865" s="6"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5">
        <v>42172.208333333336</v>
      </c>
      <c r="O865" s="5">
        <v>42195.208333333336</v>
      </c>
      <c r="P865" t="b">
        <v>0</v>
      </c>
      <c r="Q865" t="b">
        <v>1</v>
      </c>
      <c r="R865" t="s">
        <v>269</v>
      </c>
      <c r="S865" t="s">
        <v>2042</v>
      </c>
      <c r="T865" t="s">
        <v>2061</v>
      </c>
    </row>
    <row r="866" spans="1:20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13"/>
        <v>347</v>
      </c>
      <c r="G866" t="s">
        <v>20</v>
      </c>
      <c r="H866">
        <v>150</v>
      </c>
      <c r="I866" s="6">
        <v>97.18</v>
      </c>
      <c r="J866" t="s">
        <v>21</v>
      </c>
      <c r="K866" t="s">
        <v>22</v>
      </c>
      <c r="L866">
        <v>1471582800</v>
      </c>
      <c r="M866">
        <v>1472014800</v>
      </c>
      <c r="N866" s="5">
        <v>42601.208333333336</v>
      </c>
      <c r="O866" s="5">
        <v>42606.208333333336</v>
      </c>
      <c r="P866" t="b">
        <v>0</v>
      </c>
      <c r="Q866" t="b">
        <v>0</v>
      </c>
      <c r="R866" t="s">
        <v>100</v>
      </c>
      <c r="S866" t="s">
        <v>2042</v>
      </c>
      <c r="T866" t="s">
        <v>2053</v>
      </c>
    </row>
    <row r="867" spans="1:20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13"/>
        <v>186</v>
      </c>
      <c r="G867" t="s">
        <v>20</v>
      </c>
      <c r="H867">
        <v>3272</v>
      </c>
      <c r="I867" s="6"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5">
        <v>41897.208333333336</v>
      </c>
      <c r="O867" s="5">
        <v>41906.208333333336</v>
      </c>
      <c r="P867" t="b">
        <v>0</v>
      </c>
      <c r="Q867" t="b">
        <v>0</v>
      </c>
      <c r="R867" t="s">
        <v>33</v>
      </c>
      <c r="S867" t="s">
        <v>2040</v>
      </c>
      <c r="T867" t="s">
        <v>2041</v>
      </c>
    </row>
    <row r="868" spans="1:20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13"/>
        <v>43</v>
      </c>
      <c r="G868" t="s">
        <v>74</v>
      </c>
      <c r="H868">
        <v>898</v>
      </c>
      <c r="I868" s="6"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5">
        <v>40671.208333333336</v>
      </c>
      <c r="O868" s="5">
        <v>40672.208333333336</v>
      </c>
      <c r="P868" t="b">
        <v>0</v>
      </c>
      <c r="Q868" t="b">
        <v>0</v>
      </c>
      <c r="R868" t="s">
        <v>122</v>
      </c>
      <c r="S868" t="s">
        <v>2055</v>
      </c>
      <c r="T868" t="s">
        <v>2056</v>
      </c>
    </row>
    <row r="869" spans="1:20" ht="31.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13"/>
        <v>162</v>
      </c>
      <c r="G869" t="s">
        <v>20</v>
      </c>
      <c r="H869">
        <v>300</v>
      </c>
      <c r="I869" s="6">
        <v>25.99</v>
      </c>
      <c r="J869" t="s">
        <v>21</v>
      </c>
      <c r="K869" t="s">
        <v>22</v>
      </c>
      <c r="L869">
        <v>1539061200</v>
      </c>
      <c r="M869">
        <v>1539579600</v>
      </c>
      <c r="N869" s="5">
        <v>43382.208333333336</v>
      </c>
      <c r="O869" s="5">
        <v>43388.208333333336</v>
      </c>
      <c r="P869" t="b">
        <v>0</v>
      </c>
      <c r="Q869" t="b">
        <v>0</v>
      </c>
      <c r="R869" t="s">
        <v>17</v>
      </c>
      <c r="S869" t="s">
        <v>2034</v>
      </c>
      <c r="T869" t="s">
        <v>2035</v>
      </c>
    </row>
    <row r="870" spans="1:20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13"/>
        <v>185</v>
      </c>
      <c r="G870" t="s">
        <v>20</v>
      </c>
      <c r="H870">
        <v>126</v>
      </c>
      <c r="I870" s="6"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5">
        <v>41559.208333333336</v>
      </c>
      <c r="O870" s="5">
        <v>41570.208333333336</v>
      </c>
      <c r="P870" t="b">
        <v>0</v>
      </c>
      <c r="Q870" t="b">
        <v>0</v>
      </c>
      <c r="R870" t="s">
        <v>33</v>
      </c>
      <c r="S870" t="s">
        <v>2040</v>
      </c>
      <c r="T870" t="s">
        <v>2041</v>
      </c>
    </row>
    <row r="871" spans="1:20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13"/>
        <v>24</v>
      </c>
      <c r="G871" t="s">
        <v>14</v>
      </c>
      <c r="H871">
        <v>526</v>
      </c>
      <c r="I871" s="6"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5">
        <v>40350.208333333336</v>
      </c>
      <c r="O871" s="5">
        <v>40364.208333333336</v>
      </c>
      <c r="P871" t="b">
        <v>0</v>
      </c>
      <c r="Q871" t="b">
        <v>0</v>
      </c>
      <c r="R871" t="s">
        <v>53</v>
      </c>
      <c r="S871" t="s">
        <v>2042</v>
      </c>
      <c r="T871" t="s">
        <v>2045</v>
      </c>
    </row>
    <row r="872" spans="1:20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13"/>
        <v>90</v>
      </c>
      <c r="G872" t="s">
        <v>14</v>
      </c>
      <c r="H872">
        <v>121</v>
      </c>
      <c r="I872" s="6"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5">
        <v>42240.208333333336</v>
      </c>
      <c r="O872" s="5">
        <v>42265.208333333336</v>
      </c>
      <c r="P872" t="b">
        <v>0</v>
      </c>
      <c r="Q872" t="b">
        <v>0</v>
      </c>
      <c r="R872" t="s">
        <v>33</v>
      </c>
      <c r="S872" t="s">
        <v>2040</v>
      </c>
      <c r="T872" t="s">
        <v>2041</v>
      </c>
    </row>
    <row r="873" spans="1:20" ht="31.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13"/>
        <v>273</v>
      </c>
      <c r="G873" t="s">
        <v>20</v>
      </c>
      <c r="H873">
        <v>2320</v>
      </c>
      <c r="I873" s="6"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5">
        <v>43040.208333333336</v>
      </c>
      <c r="O873" s="5">
        <v>43058.25</v>
      </c>
      <c r="P873" t="b">
        <v>0</v>
      </c>
      <c r="Q873" t="b">
        <v>1</v>
      </c>
      <c r="R873" t="s">
        <v>33</v>
      </c>
      <c r="S873" t="s">
        <v>2040</v>
      </c>
      <c r="T873" t="s">
        <v>2041</v>
      </c>
    </row>
    <row r="874" spans="1:20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13"/>
        <v>170</v>
      </c>
      <c r="G874" t="s">
        <v>20</v>
      </c>
      <c r="H874">
        <v>81</v>
      </c>
      <c r="I874" s="6"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5">
        <v>43346.208333333336</v>
      </c>
      <c r="O874" s="5">
        <v>43351.208333333336</v>
      </c>
      <c r="P874" t="b">
        <v>0</v>
      </c>
      <c r="Q874" t="b">
        <v>0</v>
      </c>
      <c r="R874" t="s">
        <v>474</v>
      </c>
      <c r="S874" t="s">
        <v>2042</v>
      </c>
      <c r="T874" t="s">
        <v>2064</v>
      </c>
    </row>
    <row r="875" spans="1:20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13"/>
        <v>188</v>
      </c>
      <c r="G875" t="s">
        <v>20</v>
      </c>
      <c r="H875">
        <v>1887</v>
      </c>
      <c r="I875" s="6"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5">
        <v>41647.25</v>
      </c>
      <c r="O875" s="5">
        <v>41652.25</v>
      </c>
      <c r="P875" t="b">
        <v>0</v>
      </c>
      <c r="Q875" t="b">
        <v>0</v>
      </c>
      <c r="R875" t="s">
        <v>122</v>
      </c>
      <c r="S875" t="s">
        <v>2055</v>
      </c>
      <c r="T875" t="s">
        <v>2056</v>
      </c>
    </row>
    <row r="876" spans="1:20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13"/>
        <v>347</v>
      </c>
      <c r="G876" t="s">
        <v>20</v>
      </c>
      <c r="H876">
        <v>4358</v>
      </c>
      <c r="I876" s="6"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5">
        <v>40291.208333333336</v>
      </c>
      <c r="O876" s="5">
        <v>40329.208333333336</v>
      </c>
      <c r="P876" t="b">
        <v>0</v>
      </c>
      <c r="Q876" t="b">
        <v>1</v>
      </c>
      <c r="R876" t="s">
        <v>122</v>
      </c>
      <c r="S876" t="s">
        <v>2055</v>
      </c>
      <c r="T876" t="s">
        <v>2056</v>
      </c>
    </row>
    <row r="877" spans="1:20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13"/>
        <v>69</v>
      </c>
      <c r="G877" t="s">
        <v>14</v>
      </c>
      <c r="H877">
        <v>67</v>
      </c>
      <c r="I877" s="6"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5">
        <v>40556.25</v>
      </c>
      <c r="O877" s="5">
        <v>40557.25</v>
      </c>
      <c r="P877" t="b">
        <v>0</v>
      </c>
      <c r="Q877" t="b">
        <v>0</v>
      </c>
      <c r="R877" t="s">
        <v>23</v>
      </c>
      <c r="S877" t="s">
        <v>2036</v>
      </c>
      <c r="T877" t="s">
        <v>2037</v>
      </c>
    </row>
    <row r="878" spans="1:20" ht="31.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13"/>
        <v>25</v>
      </c>
      <c r="G878" t="s">
        <v>14</v>
      </c>
      <c r="H878">
        <v>57</v>
      </c>
      <c r="I878" s="6"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5">
        <v>43624.208333333336</v>
      </c>
      <c r="O878" s="5">
        <v>43648.208333333336</v>
      </c>
      <c r="P878" t="b">
        <v>0</v>
      </c>
      <c r="Q878" t="b">
        <v>0</v>
      </c>
      <c r="R878" t="s">
        <v>122</v>
      </c>
      <c r="S878" t="s">
        <v>2055</v>
      </c>
      <c r="T878" t="s">
        <v>2056</v>
      </c>
    </row>
    <row r="879" spans="1:20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13"/>
        <v>77</v>
      </c>
      <c r="G879" t="s">
        <v>14</v>
      </c>
      <c r="H879">
        <v>1229</v>
      </c>
      <c r="I879" s="6"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5">
        <v>42577.208333333336</v>
      </c>
      <c r="O879" s="5">
        <v>42578.208333333336</v>
      </c>
      <c r="P879" t="b">
        <v>0</v>
      </c>
      <c r="Q879" t="b">
        <v>0</v>
      </c>
      <c r="R879" t="s">
        <v>17</v>
      </c>
      <c r="S879" t="s">
        <v>2034</v>
      </c>
      <c r="T879" t="s">
        <v>2035</v>
      </c>
    </row>
    <row r="880" spans="1:20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13"/>
        <v>37</v>
      </c>
      <c r="G880" t="s">
        <v>14</v>
      </c>
      <c r="H880">
        <v>12</v>
      </c>
      <c r="I880" s="6"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5">
        <v>43845.25</v>
      </c>
      <c r="O880" s="5">
        <v>43869.25</v>
      </c>
      <c r="P880" t="b">
        <v>0</v>
      </c>
      <c r="Q880" t="b">
        <v>0</v>
      </c>
      <c r="R880" t="s">
        <v>148</v>
      </c>
      <c r="S880" t="s">
        <v>2036</v>
      </c>
      <c r="T880" t="s">
        <v>2058</v>
      </c>
    </row>
    <row r="881" spans="1:20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13"/>
        <v>544</v>
      </c>
      <c r="G881" t="s">
        <v>20</v>
      </c>
      <c r="H881">
        <v>53</v>
      </c>
      <c r="I881" s="6"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5">
        <v>42788.25</v>
      </c>
      <c r="O881" s="5">
        <v>42797.25</v>
      </c>
      <c r="P881" t="b">
        <v>0</v>
      </c>
      <c r="Q881" t="b">
        <v>0</v>
      </c>
      <c r="R881" t="s">
        <v>68</v>
      </c>
      <c r="S881" t="s">
        <v>2048</v>
      </c>
      <c r="T881" t="s">
        <v>2049</v>
      </c>
    </row>
    <row r="882" spans="1:20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13"/>
        <v>229</v>
      </c>
      <c r="G882" t="s">
        <v>20</v>
      </c>
      <c r="H882">
        <v>2414</v>
      </c>
      <c r="I882" s="6"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5">
        <v>43667.208333333336</v>
      </c>
      <c r="O882" s="5">
        <v>43669.208333333336</v>
      </c>
      <c r="P882" t="b">
        <v>0</v>
      </c>
      <c r="Q882" t="b">
        <v>0</v>
      </c>
      <c r="R882" t="s">
        <v>50</v>
      </c>
      <c r="S882" t="s">
        <v>2036</v>
      </c>
      <c r="T882" t="s">
        <v>2044</v>
      </c>
    </row>
    <row r="883" spans="1:20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13"/>
        <v>39</v>
      </c>
      <c r="G883" t="s">
        <v>14</v>
      </c>
      <c r="H883">
        <v>452</v>
      </c>
      <c r="I883" s="6"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5">
        <v>42194.208333333336</v>
      </c>
      <c r="O883" s="5">
        <v>42223.208333333336</v>
      </c>
      <c r="P883" t="b">
        <v>0</v>
      </c>
      <c r="Q883" t="b">
        <v>1</v>
      </c>
      <c r="R883" t="s">
        <v>33</v>
      </c>
      <c r="S883" t="s">
        <v>2040</v>
      </c>
      <c r="T883" t="s">
        <v>2041</v>
      </c>
    </row>
    <row r="884" spans="1:20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13"/>
        <v>370</v>
      </c>
      <c r="G884" t="s">
        <v>20</v>
      </c>
      <c r="H884">
        <v>80</v>
      </c>
      <c r="I884" s="6">
        <v>37</v>
      </c>
      <c r="J884" t="s">
        <v>21</v>
      </c>
      <c r="K884" t="s">
        <v>22</v>
      </c>
      <c r="L884">
        <v>1421820000</v>
      </c>
      <c r="M884">
        <v>1422165600</v>
      </c>
      <c r="N884" s="5">
        <v>42025.25</v>
      </c>
      <c r="O884" s="5">
        <v>42029.25</v>
      </c>
      <c r="P884" t="b">
        <v>0</v>
      </c>
      <c r="Q884" t="b">
        <v>0</v>
      </c>
      <c r="R884" t="s">
        <v>33</v>
      </c>
      <c r="S884" t="s">
        <v>2040</v>
      </c>
      <c r="T884" t="s">
        <v>2041</v>
      </c>
    </row>
    <row r="885" spans="1:20" ht="31.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13"/>
        <v>238</v>
      </c>
      <c r="G885" t="s">
        <v>20</v>
      </c>
      <c r="H885">
        <v>193</v>
      </c>
      <c r="I885" s="6"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5">
        <v>40323.208333333336</v>
      </c>
      <c r="O885" s="5">
        <v>40359.208333333336</v>
      </c>
      <c r="P885" t="b">
        <v>0</v>
      </c>
      <c r="Q885" t="b">
        <v>0</v>
      </c>
      <c r="R885" t="s">
        <v>100</v>
      </c>
      <c r="S885" t="s">
        <v>2042</v>
      </c>
      <c r="T885" t="s">
        <v>2053</v>
      </c>
    </row>
    <row r="886" spans="1:20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13"/>
        <v>64</v>
      </c>
      <c r="G886" t="s">
        <v>14</v>
      </c>
      <c r="H886">
        <v>1886</v>
      </c>
      <c r="I886" s="6"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5">
        <v>41763.208333333336</v>
      </c>
      <c r="O886" s="5">
        <v>41765.208333333336</v>
      </c>
      <c r="P886" t="b">
        <v>0</v>
      </c>
      <c r="Q886" t="b">
        <v>1</v>
      </c>
      <c r="R886" t="s">
        <v>33</v>
      </c>
      <c r="S886" t="s">
        <v>2040</v>
      </c>
      <c r="T886" t="s">
        <v>2041</v>
      </c>
    </row>
    <row r="887" spans="1:20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13"/>
        <v>118</v>
      </c>
      <c r="G887" t="s">
        <v>20</v>
      </c>
      <c r="H887">
        <v>52</v>
      </c>
      <c r="I887" s="6"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5">
        <v>40335.208333333336</v>
      </c>
      <c r="O887" s="5">
        <v>40373.208333333336</v>
      </c>
      <c r="P887" t="b">
        <v>0</v>
      </c>
      <c r="Q887" t="b">
        <v>0</v>
      </c>
      <c r="R887" t="s">
        <v>33</v>
      </c>
      <c r="S887" t="s">
        <v>2040</v>
      </c>
      <c r="T887" t="s">
        <v>2041</v>
      </c>
    </row>
    <row r="888" spans="1:20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13"/>
        <v>85</v>
      </c>
      <c r="G888" t="s">
        <v>14</v>
      </c>
      <c r="H888">
        <v>1825</v>
      </c>
      <c r="I888" s="6"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5">
        <v>40416.208333333336</v>
      </c>
      <c r="O888" s="5">
        <v>40434.208333333336</v>
      </c>
      <c r="P888" t="b">
        <v>0</v>
      </c>
      <c r="Q888" t="b">
        <v>0</v>
      </c>
      <c r="R888" t="s">
        <v>60</v>
      </c>
      <c r="S888" t="s">
        <v>2036</v>
      </c>
      <c r="T888" t="s">
        <v>2046</v>
      </c>
    </row>
    <row r="889" spans="1:20" ht="31.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13"/>
        <v>29</v>
      </c>
      <c r="G889" t="s">
        <v>14</v>
      </c>
      <c r="H889">
        <v>31</v>
      </c>
      <c r="I889" s="6"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5">
        <v>42202.208333333336</v>
      </c>
      <c r="O889" s="5">
        <v>42249.208333333336</v>
      </c>
      <c r="P889" t="b">
        <v>0</v>
      </c>
      <c r="Q889" t="b">
        <v>1</v>
      </c>
      <c r="R889" t="s">
        <v>33</v>
      </c>
      <c r="S889" t="s">
        <v>2040</v>
      </c>
      <c r="T889" t="s">
        <v>2041</v>
      </c>
    </row>
    <row r="890" spans="1:20" ht="31.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13"/>
        <v>210</v>
      </c>
      <c r="G890" t="s">
        <v>20</v>
      </c>
      <c r="H890">
        <v>290</v>
      </c>
      <c r="I890" s="6"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5">
        <v>42836.208333333336</v>
      </c>
      <c r="O890" s="5">
        <v>42855.208333333336</v>
      </c>
      <c r="P890" t="b">
        <v>0</v>
      </c>
      <c r="Q890" t="b">
        <v>0</v>
      </c>
      <c r="R890" t="s">
        <v>33</v>
      </c>
      <c r="S890" t="s">
        <v>2040</v>
      </c>
      <c r="T890" t="s">
        <v>2041</v>
      </c>
    </row>
    <row r="891" spans="1:20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13"/>
        <v>170</v>
      </c>
      <c r="G891" t="s">
        <v>20</v>
      </c>
      <c r="H891">
        <v>122</v>
      </c>
      <c r="I891" s="6"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5">
        <v>41710.208333333336</v>
      </c>
      <c r="O891" s="5">
        <v>41717.208333333336</v>
      </c>
      <c r="P891" t="b">
        <v>0</v>
      </c>
      <c r="Q891" t="b">
        <v>1</v>
      </c>
      <c r="R891" t="s">
        <v>50</v>
      </c>
      <c r="S891" t="s">
        <v>2036</v>
      </c>
      <c r="T891" t="s">
        <v>2044</v>
      </c>
    </row>
    <row r="892" spans="1:20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13"/>
        <v>116</v>
      </c>
      <c r="G892" t="s">
        <v>20</v>
      </c>
      <c r="H892">
        <v>1470</v>
      </c>
      <c r="I892" s="6"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5">
        <v>43640.208333333336</v>
      </c>
      <c r="O892" s="5">
        <v>43641.208333333336</v>
      </c>
      <c r="P892" t="b">
        <v>0</v>
      </c>
      <c r="Q892" t="b">
        <v>0</v>
      </c>
      <c r="R892" t="s">
        <v>60</v>
      </c>
      <c r="S892" t="s">
        <v>2036</v>
      </c>
      <c r="T892" t="s">
        <v>2046</v>
      </c>
    </row>
    <row r="893" spans="1:20" ht="31.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13"/>
        <v>259</v>
      </c>
      <c r="G893" t="s">
        <v>20</v>
      </c>
      <c r="H893">
        <v>165</v>
      </c>
      <c r="I893" s="6"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5">
        <v>40880.25</v>
      </c>
      <c r="O893" s="5">
        <v>40924.25</v>
      </c>
      <c r="P893" t="b">
        <v>0</v>
      </c>
      <c r="Q893" t="b">
        <v>0</v>
      </c>
      <c r="R893" t="s">
        <v>42</v>
      </c>
      <c r="S893" t="s">
        <v>2042</v>
      </c>
      <c r="T893" t="s">
        <v>2043</v>
      </c>
    </row>
    <row r="894" spans="1:20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13"/>
        <v>231</v>
      </c>
      <c r="G894" t="s">
        <v>20</v>
      </c>
      <c r="H894">
        <v>182</v>
      </c>
      <c r="I894" s="6"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5">
        <v>40319.208333333336</v>
      </c>
      <c r="O894" s="5">
        <v>40360.208333333336</v>
      </c>
      <c r="P894" t="b">
        <v>0</v>
      </c>
      <c r="Q894" t="b">
        <v>0</v>
      </c>
      <c r="R894" t="s">
        <v>206</v>
      </c>
      <c r="S894" t="s">
        <v>2048</v>
      </c>
      <c r="T894" t="s">
        <v>2060</v>
      </c>
    </row>
    <row r="895" spans="1:20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13"/>
        <v>128</v>
      </c>
      <c r="G895" t="s">
        <v>20</v>
      </c>
      <c r="H895">
        <v>199</v>
      </c>
      <c r="I895" s="6"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5">
        <v>42170.208333333336</v>
      </c>
      <c r="O895" s="5">
        <v>42174.208333333336</v>
      </c>
      <c r="P895" t="b">
        <v>0</v>
      </c>
      <c r="Q895" t="b">
        <v>1</v>
      </c>
      <c r="R895" t="s">
        <v>42</v>
      </c>
      <c r="S895" t="s">
        <v>2042</v>
      </c>
      <c r="T895" t="s">
        <v>2043</v>
      </c>
    </row>
    <row r="896" spans="1:20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13"/>
        <v>189</v>
      </c>
      <c r="G896" t="s">
        <v>20</v>
      </c>
      <c r="H896">
        <v>56</v>
      </c>
      <c r="I896" s="6"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5">
        <v>41466.208333333336</v>
      </c>
      <c r="O896" s="5">
        <v>41496.208333333336</v>
      </c>
      <c r="P896" t="b">
        <v>0</v>
      </c>
      <c r="Q896" t="b">
        <v>1</v>
      </c>
      <c r="R896" t="s">
        <v>269</v>
      </c>
      <c r="S896" t="s">
        <v>2042</v>
      </c>
      <c r="T896" t="s">
        <v>2061</v>
      </c>
    </row>
    <row r="897" spans="1:20" ht="31.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13"/>
        <v>7</v>
      </c>
      <c r="G897" t="s">
        <v>14</v>
      </c>
      <c r="H897">
        <v>107</v>
      </c>
      <c r="I897" s="6"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5">
        <v>43134.25</v>
      </c>
      <c r="O897" s="5">
        <v>43143.25</v>
      </c>
      <c r="P897" t="b">
        <v>0</v>
      </c>
      <c r="Q897" t="b">
        <v>0</v>
      </c>
      <c r="R897" t="s">
        <v>33</v>
      </c>
      <c r="S897" t="s">
        <v>2040</v>
      </c>
      <c r="T897" t="s">
        <v>2041</v>
      </c>
    </row>
    <row r="898" spans="1:20" ht="31.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13"/>
        <v>774</v>
      </c>
      <c r="G898" t="s">
        <v>20</v>
      </c>
      <c r="H898">
        <v>1460</v>
      </c>
      <c r="I898" s="6"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5">
        <v>40738.208333333336</v>
      </c>
      <c r="O898" s="5">
        <v>40741.208333333336</v>
      </c>
      <c r="P898" t="b">
        <v>0</v>
      </c>
      <c r="Q898" t="b">
        <v>1</v>
      </c>
      <c r="R898" t="s">
        <v>17</v>
      </c>
      <c r="S898" t="s">
        <v>2034</v>
      </c>
      <c r="T898" t="s">
        <v>2035</v>
      </c>
    </row>
    <row r="899" spans="1:20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si="13"/>
        <v>28</v>
      </c>
      <c r="G899" t="s">
        <v>14</v>
      </c>
      <c r="H899">
        <v>27</v>
      </c>
      <c r="I899" s="6"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5">
        <v>43583.208333333336</v>
      </c>
      <c r="O899" s="5">
        <v>43585.208333333336</v>
      </c>
      <c r="P899" t="b">
        <v>0</v>
      </c>
      <c r="Q899" t="b">
        <v>0</v>
      </c>
      <c r="R899" t="s">
        <v>33</v>
      </c>
      <c r="S899" t="s">
        <v>2040</v>
      </c>
      <c r="T899" t="s">
        <v>2041</v>
      </c>
    </row>
    <row r="900" spans="1:20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ref="F900:F963" si="14">ROUND(E900/D900*100,0)</f>
        <v>52</v>
      </c>
      <c r="G900" t="s">
        <v>14</v>
      </c>
      <c r="H900">
        <v>1221</v>
      </c>
      <c r="I900" s="6"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5">
        <v>43815.25</v>
      </c>
      <c r="O900" s="5">
        <v>43821.25</v>
      </c>
      <c r="P900" t="b">
        <v>0</v>
      </c>
      <c r="Q900" t="b">
        <v>0</v>
      </c>
      <c r="R900" t="s">
        <v>42</v>
      </c>
      <c r="S900" t="s">
        <v>2042</v>
      </c>
      <c r="T900" t="s">
        <v>2043</v>
      </c>
    </row>
    <row r="901" spans="1:20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14"/>
        <v>407</v>
      </c>
      <c r="G901" t="s">
        <v>20</v>
      </c>
      <c r="H901">
        <v>123</v>
      </c>
      <c r="I901" s="6"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5">
        <v>41554.208333333336</v>
      </c>
      <c r="O901" s="5">
        <v>41572.208333333336</v>
      </c>
      <c r="P901" t="b">
        <v>0</v>
      </c>
      <c r="Q901" t="b">
        <v>0</v>
      </c>
      <c r="R901" t="s">
        <v>159</v>
      </c>
      <c r="S901" t="s">
        <v>2036</v>
      </c>
      <c r="T901" t="s">
        <v>2059</v>
      </c>
    </row>
    <row r="902" spans="1:20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14"/>
        <v>2</v>
      </c>
      <c r="G902" t="s">
        <v>14</v>
      </c>
      <c r="H902">
        <v>1</v>
      </c>
      <c r="I902" s="6">
        <v>2</v>
      </c>
      <c r="J902" t="s">
        <v>21</v>
      </c>
      <c r="K902" t="s">
        <v>22</v>
      </c>
      <c r="L902">
        <v>1411102800</v>
      </c>
      <c r="M902">
        <v>1411189200</v>
      </c>
      <c r="N902" s="5">
        <v>41901.208333333336</v>
      </c>
      <c r="O902" s="5">
        <v>41902.208333333336</v>
      </c>
      <c r="P902" t="b">
        <v>0</v>
      </c>
      <c r="Q902" t="b">
        <v>1</v>
      </c>
      <c r="R902" t="s">
        <v>28</v>
      </c>
      <c r="S902" t="s">
        <v>2038</v>
      </c>
      <c r="T902" t="s">
        <v>2039</v>
      </c>
    </row>
    <row r="903" spans="1:20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14"/>
        <v>156</v>
      </c>
      <c r="G903" t="s">
        <v>20</v>
      </c>
      <c r="H903">
        <v>159</v>
      </c>
      <c r="I903" s="6"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5">
        <v>43298.208333333336</v>
      </c>
      <c r="O903" s="5">
        <v>43331.208333333336</v>
      </c>
      <c r="P903" t="b">
        <v>0</v>
      </c>
      <c r="Q903" t="b">
        <v>1</v>
      </c>
      <c r="R903" t="s">
        <v>23</v>
      </c>
      <c r="S903" t="s">
        <v>2036</v>
      </c>
      <c r="T903" t="s">
        <v>2037</v>
      </c>
    </row>
    <row r="904" spans="1:20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14"/>
        <v>252</v>
      </c>
      <c r="G904" t="s">
        <v>20</v>
      </c>
      <c r="H904">
        <v>110</v>
      </c>
      <c r="I904" s="6"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5">
        <v>42399.25</v>
      </c>
      <c r="O904" s="5">
        <v>42441.25</v>
      </c>
      <c r="P904" t="b">
        <v>0</v>
      </c>
      <c r="Q904" t="b">
        <v>0</v>
      </c>
      <c r="R904" t="s">
        <v>28</v>
      </c>
      <c r="S904" t="s">
        <v>2038</v>
      </c>
      <c r="T904" t="s">
        <v>2039</v>
      </c>
    </row>
    <row r="905" spans="1:20" ht="31.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14"/>
        <v>2</v>
      </c>
      <c r="G905" t="s">
        <v>47</v>
      </c>
      <c r="H905">
        <v>14</v>
      </c>
      <c r="I905" s="6"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5">
        <v>41034.208333333336</v>
      </c>
      <c r="O905" s="5">
        <v>41049.208333333336</v>
      </c>
      <c r="P905" t="b">
        <v>0</v>
      </c>
      <c r="Q905" t="b">
        <v>1</v>
      </c>
      <c r="R905" t="s">
        <v>68</v>
      </c>
      <c r="S905" t="s">
        <v>2048</v>
      </c>
      <c r="T905" t="s">
        <v>2049</v>
      </c>
    </row>
    <row r="906" spans="1:20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14"/>
        <v>12</v>
      </c>
      <c r="G906" t="s">
        <v>14</v>
      </c>
      <c r="H906">
        <v>16</v>
      </c>
      <c r="I906" s="6">
        <v>49.6875</v>
      </c>
      <c r="J906" t="s">
        <v>21</v>
      </c>
      <c r="K906" t="s">
        <v>22</v>
      </c>
      <c r="L906">
        <v>1349326800</v>
      </c>
      <c r="M906">
        <v>1349672400</v>
      </c>
      <c r="N906" s="5">
        <v>41186.208333333336</v>
      </c>
      <c r="O906" s="5">
        <v>41190.208333333336</v>
      </c>
      <c r="P906" t="b">
        <v>0</v>
      </c>
      <c r="Q906" t="b">
        <v>0</v>
      </c>
      <c r="R906" t="s">
        <v>133</v>
      </c>
      <c r="S906" t="s">
        <v>2048</v>
      </c>
      <c r="T906" t="s">
        <v>2057</v>
      </c>
    </row>
    <row r="907" spans="1:20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14"/>
        <v>164</v>
      </c>
      <c r="G907" t="s">
        <v>20</v>
      </c>
      <c r="H907">
        <v>236</v>
      </c>
      <c r="I907" s="6"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5">
        <v>41536.208333333336</v>
      </c>
      <c r="O907" s="5">
        <v>41539.208333333336</v>
      </c>
      <c r="P907" t="b">
        <v>0</v>
      </c>
      <c r="Q907" t="b">
        <v>0</v>
      </c>
      <c r="R907" t="s">
        <v>33</v>
      </c>
      <c r="S907" t="s">
        <v>2040</v>
      </c>
      <c r="T907" t="s">
        <v>2041</v>
      </c>
    </row>
    <row r="908" spans="1:20" ht="31.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14"/>
        <v>163</v>
      </c>
      <c r="G908" t="s">
        <v>20</v>
      </c>
      <c r="H908">
        <v>191</v>
      </c>
      <c r="I908" s="6"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5">
        <v>42868.208333333336</v>
      </c>
      <c r="O908" s="5">
        <v>42904.208333333336</v>
      </c>
      <c r="P908" t="b">
        <v>1</v>
      </c>
      <c r="Q908" t="b">
        <v>1</v>
      </c>
      <c r="R908" t="s">
        <v>42</v>
      </c>
      <c r="S908" t="s">
        <v>2042</v>
      </c>
      <c r="T908" t="s">
        <v>2043</v>
      </c>
    </row>
    <row r="909" spans="1:20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14"/>
        <v>20</v>
      </c>
      <c r="G909" t="s">
        <v>14</v>
      </c>
      <c r="H909">
        <v>41</v>
      </c>
      <c r="I909" s="6"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5">
        <v>40660.208333333336</v>
      </c>
      <c r="O909" s="5">
        <v>40667.208333333336</v>
      </c>
      <c r="P909" t="b">
        <v>0</v>
      </c>
      <c r="Q909" t="b">
        <v>0</v>
      </c>
      <c r="R909" t="s">
        <v>33</v>
      </c>
      <c r="S909" t="s">
        <v>2040</v>
      </c>
      <c r="T909" t="s">
        <v>2041</v>
      </c>
    </row>
    <row r="910" spans="1:20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14"/>
        <v>319</v>
      </c>
      <c r="G910" t="s">
        <v>20</v>
      </c>
      <c r="H910">
        <v>3934</v>
      </c>
      <c r="I910" s="6"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5">
        <v>41031.208333333336</v>
      </c>
      <c r="O910" s="5">
        <v>41042.208333333336</v>
      </c>
      <c r="P910" t="b">
        <v>0</v>
      </c>
      <c r="Q910" t="b">
        <v>0</v>
      </c>
      <c r="R910" t="s">
        <v>89</v>
      </c>
      <c r="S910" t="s">
        <v>2051</v>
      </c>
      <c r="T910" t="s">
        <v>2052</v>
      </c>
    </row>
    <row r="911" spans="1:20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14"/>
        <v>479</v>
      </c>
      <c r="G911" t="s">
        <v>20</v>
      </c>
      <c r="H911">
        <v>80</v>
      </c>
      <c r="I911" s="6">
        <v>107.7625</v>
      </c>
      <c r="J911" t="s">
        <v>15</v>
      </c>
      <c r="K911" t="s">
        <v>16</v>
      </c>
      <c r="L911">
        <v>1528088400</v>
      </c>
      <c r="M911">
        <v>1530421200</v>
      </c>
      <c r="N911" s="5">
        <v>43255.208333333336</v>
      </c>
      <c r="O911" s="5">
        <v>43282.208333333336</v>
      </c>
      <c r="P911" t="b">
        <v>0</v>
      </c>
      <c r="Q911" t="b">
        <v>1</v>
      </c>
      <c r="R911" t="s">
        <v>33</v>
      </c>
      <c r="S911" t="s">
        <v>2040</v>
      </c>
      <c r="T911" t="s">
        <v>2041</v>
      </c>
    </row>
    <row r="912" spans="1:20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14"/>
        <v>20</v>
      </c>
      <c r="G912" t="s">
        <v>74</v>
      </c>
      <c r="H912">
        <v>296</v>
      </c>
      <c r="I912" s="6"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5">
        <v>42026.25</v>
      </c>
      <c r="O912" s="5">
        <v>42027.25</v>
      </c>
      <c r="P912" t="b">
        <v>0</v>
      </c>
      <c r="Q912" t="b">
        <v>0</v>
      </c>
      <c r="R912" t="s">
        <v>33</v>
      </c>
      <c r="S912" t="s">
        <v>2040</v>
      </c>
      <c r="T912" t="s">
        <v>2041</v>
      </c>
    </row>
    <row r="913" spans="1:20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14"/>
        <v>199</v>
      </c>
      <c r="G913" t="s">
        <v>20</v>
      </c>
      <c r="H913">
        <v>462</v>
      </c>
      <c r="I913" s="6"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5">
        <v>43717.208333333336</v>
      </c>
      <c r="O913" s="5">
        <v>43719.208333333336</v>
      </c>
      <c r="P913" t="b">
        <v>1</v>
      </c>
      <c r="Q913" t="b">
        <v>0</v>
      </c>
      <c r="R913" t="s">
        <v>28</v>
      </c>
      <c r="S913" t="s">
        <v>2038</v>
      </c>
      <c r="T913" t="s">
        <v>2039</v>
      </c>
    </row>
    <row r="914" spans="1:20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14"/>
        <v>795</v>
      </c>
      <c r="G914" t="s">
        <v>20</v>
      </c>
      <c r="H914">
        <v>179</v>
      </c>
      <c r="I914" s="6"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5">
        <v>41157.208333333336</v>
      </c>
      <c r="O914" s="5">
        <v>41170.208333333336</v>
      </c>
      <c r="P914" t="b">
        <v>1</v>
      </c>
      <c r="Q914" t="b">
        <v>0</v>
      </c>
      <c r="R914" t="s">
        <v>53</v>
      </c>
      <c r="S914" t="s">
        <v>2042</v>
      </c>
      <c r="T914" t="s">
        <v>2045</v>
      </c>
    </row>
    <row r="915" spans="1:20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14"/>
        <v>51</v>
      </c>
      <c r="G915" t="s">
        <v>14</v>
      </c>
      <c r="H915">
        <v>523</v>
      </c>
      <c r="I915" s="6"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5">
        <v>43597.208333333336</v>
      </c>
      <c r="O915" s="5">
        <v>43610.208333333336</v>
      </c>
      <c r="P915" t="b">
        <v>0</v>
      </c>
      <c r="Q915" t="b">
        <v>0</v>
      </c>
      <c r="R915" t="s">
        <v>53</v>
      </c>
      <c r="S915" t="s">
        <v>2042</v>
      </c>
      <c r="T915" t="s">
        <v>2045</v>
      </c>
    </row>
    <row r="916" spans="1:20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14"/>
        <v>57</v>
      </c>
      <c r="G916" t="s">
        <v>14</v>
      </c>
      <c r="H916">
        <v>141</v>
      </c>
      <c r="I916" s="6"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5">
        <v>41490.208333333336</v>
      </c>
      <c r="O916" s="5">
        <v>41502.208333333336</v>
      </c>
      <c r="P916" t="b">
        <v>0</v>
      </c>
      <c r="Q916" t="b">
        <v>0</v>
      </c>
      <c r="R916" t="s">
        <v>33</v>
      </c>
      <c r="S916" t="s">
        <v>2040</v>
      </c>
      <c r="T916" t="s">
        <v>2041</v>
      </c>
    </row>
    <row r="917" spans="1:20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14"/>
        <v>156</v>
      </c>
      <c r="G917" t="s">
        <v>20</v>
      </c>
      <c r="H917">
        <v>1866</v>
      </c>
      <c r="I917" s="6"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5">
        <v>42976.208333333336</v>
      </c>
      <c r="O917" s="5">
        <v>42985.208333333336</v>
      </c>
      <c r="P917" t="b">
        <v>0</v>
      </c>
      <c r="Q917" t="b">
        <v>0</v>
      </c>
      <c r="R917" t="s">
        <v>269</v>
      </c>
      <c r="S917" t="s">
        <v>2042</v>
      </c>
      <c r="T917" t="s">
        <v>2061</v>
      </c>
    </row>
    <row r="918" spans="1:20" ht="31.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14"/>
        <v>36</v>
      </c>
      <c r="G918" t="s">
        <v>14</v>
      </c>
      <c r="H918">
        <v>52</v>
      </c>
      <c r="I918" s="6"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5">
        <v>41991.25</v>
      </c>
      <c r="O918" s="5">
        <v>42000.25</v>
      </c>
      <c r="P918" t="b">
        <v>0</v>
      </c>
      <c r="Q918" t="b">
        <v>0</v>
      </c>
      <c r="R918" t="s">
        <v>122</v>
      </c>
      <c r="S918" t="s">
        <v>2055</v>
      </c>
      <c r="T918" t="s">
        <v>2056</v>
      </c>
    </row>
    <row r="919" spans="1:20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14"/>
        <v>58</v>
      </c>
      <c r="G919" t="s">
        <v>47</v>
      </c>
      <c r="H919">
        <v>27</v>
      </c>
      <c r="I919" s="6"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5">
        <v>40722.208333333336</v>
      </c>
      <c r="O919" s="5">
        <v>40746.208333333336</v>
      </c>
      <c r="P919" t="b">
        <v>0</v>
      </c>
      <c r="Q919" t="b">
        <v>1</v>
      </c>
      <c r="R919" t="s">
        <v>100</v>
      </c>
      <c r="S919" t="s">
        <v>2042</v>
      </c>
      <c r="T919" t="s">
        <v>2053</v>
      </c>
    </row>
    <row r="920" spans="1:20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14"/>
        <v>237</v>
      </c>
      <c r="G920" t="s">
        <v>20</v>
      </c>
      <c r="H920">
        <v>156</v>
      </c>
      <c r="I920" s="6"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5">
        <v>41117.208333333336</v>
      </c>
      <c r="O920" s="5">
        <v>41128.208333333336</v>
      </c>
      <c r="P920" t="b">
        <v>0</v>
      </c>
      <c r="Q920" t="b">
        <v>0</v>
      </c>
      <c r="R920" t="s">
        <v>133</v>
      </c>
      <c r="S920" t="s">
        <v>2048</v>
      </c>
      <c r="T920" t="s">
        <v>2057</v>
      </c>
    </row>
    <row r="921" spans="1:20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14"/>
        <v>59</v>
      </c>
      <c r="G921" t="s">
        <v>14</v>
      </c>
      <c r="H921">
        <v>225</v>
      </c>
      <c r="I921" s="6"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5">
        <v>43022.208333333336</v>
      </c>
      <c r="O921" s="5">
        <v>43054.25</v>
      </c>
      <c r="P921" t="b">
        <v>0</v>
      </c>
      <c r="Q921" t="b">
        <v>1</v>
      </c>
      <c r="R921" t="s">
        <v>33</v>
      </c>
      <c r="S921" t="s">
        <v>2040</v>
      </c>
      <c r="T921" t="s">
        <v>2041</v>
      </c>
    </row>
    <row r="922" spans="1:20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14"/>
        <v>183</v>
      </c>
      <c r="G922" t="s">
        <v>20</v>
      </c>
      <c r="H922">
        <v>255</v>
      </c>
      <c r="I922" s="6"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5">
        <v>43503.25</v>
      </c>
      <c r="O922" s="5">
        <v>43523.25</v>
      </c>
      <c r="P922" t="b">
        <v>1</v>
      </c>
      <c r="Q922" t="b">
        <v>0</v>
      </c>
      <c r="R922" t="s">
        <v>71</v>
      </c>
      <c r="S922" t="s">
        <v>2042</v>
      </c>
      <c r="T922" t="s">
        <v>2050</v>
      </c>
    </row>
    <row r="923" spans="1:20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14"/>
        <v>1</v>
      </c>
      <c r="G923" t="s">
        <v>14</v>
      </c>
      <c r="H923">
        <v>38</v>
      </c>
      <c r="I923" s="6"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5">
        <v>40951.25</v>
      </c>
      <c r="O923" s="5">
        <v>40965.25</v>
      </c>
      <c r="P923" t="b">
        <v>0</v>
      </c>
      <c r="Q923" t="b">
        <v>0</v>
      </c>
      <c r="R923" t="s">
        <v>28</v>
      </c>
      <c r="S923" t="s">
        <v>2038</v>
      </c>
      <c r="T923" t="s">
        <v>2039</v>
      </c>
    </row>
    <row r="924" spans="1:20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14"/>
        <v>176</v>
      </c>
      <c r="G924" t="s">
        <v>20</v>
      </c>
      <c r="H924">
        <v>2261</v>
      </c>
      <c r="I924" s="6">
        <v>40</v>
      </c>
      <c r="J924" t="s">
        <v>21</v>
      </c>
      <c r="K924" t="s">
        <v>22</v>
      </c>
      <c r="L924">
        <v>1544335200</v>
      </c>
      <c r="M924">
        <v>1545112800</v>
      </c>
      <c r="N924" s="5">
        <v>43443.25</v>
      </c>
      <c r="O924" s="5">
        <v>43452.25</v>
      </c>
      <c r="P924" t="b">
        <v>0</v>
      </c>
      <c r="Q924" t="b">
        <v>1</v>
      </c>
      <c r="R924" t="s">
        <v>319</v>
      </c>
      <c r="S924" t="s">
        <v>2036</v>
      </c>
      <c r="T924" t="s">
        <v>2063</v>
      </c>
    </row>
    <row r="925" spans="1:20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14"/>
        <v>238</v>
      </c>
      <c r="G925" t="s">
        <v>20</v>
      </c>
      <c r="H925">
        <v>40</v>
      </c>
      <c r="I925" s="6">
        <v>101.1</v>
      </c>
      <c r="J925" t="s">
        <v>21</v>
      </c>
      <c r="K925" t="s">
        <v>22</v>
      </c>
      <c r="L925">
        <v>1279083600</v>
      </c>
      <c r="M925">
        <v>1279170000</v>
      </c>
      <c r="N925" s="5">
        <v>40373.208333333336</v>
      </c>
      <c r="O925" s="5">
        <v>40374.208333333336</v>
      </c>
      <c r="P925" t="b">
        <v>0</v>
      </c>
      <c r="Q925" t="b">
        <v>0</v>
      </c>
      <c r="R925" t="s">
        <v>33</v>
      </c>
      <c r="S925" t="s">
        <v>2040</v>
      </c>
      <c r="T925" t="s">
        <v>2041</v>
      </c>
    </row>
    <row r="926" spans="1:20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14"/>
        <v>488</v>
      </c>
      <c r="G926" t="s">
        <v>20</v>
      </c>
      <c r="H926">
        <v>2289</v>
      </c>
      <c r="I926" s="6"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5">
        <v>43769.208333333336</v>
      </c>
      <c r="O926" s="5">
        <v>43780.25</v>
      </c>
      <c r="P926" t="b">
        <v>0</v>
      </c>
      <c r="Q926" t="b">
        <v>0</v>
      </c>
      <c r="R926" t="s">
        <v>33</v>
      </c>
      <c r="S926" t="s">
        <v>2040</v>
      </c>
      <c r="T926" t="s">
        <v>2041</v>
      </c>
    </row>
    <row r="927" spans="1:20" ht="31.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14"/>
        <v>224</v>
      </c>
      <c r="G927" t="s">
        <v>20</v>
      </c>
      <c r="H927">
        <v>65</v>
      </c>
      <c r="I927" s="6"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5">
        <v>43000.208333333336</v>
      </c>
      <c r="O927" s="5">
        <v>43012.208333333336</v>
      </c>
      <c r="P927" t="b">
        <v>0</v>
      </c>
      <c r="Q927" t="b">
        <v>0</v>
      </c>
      <c r="R927" t="s">
        <v>33</v>
      </c>
      <c r="S927" t="s">
        <v>2040</v>
      </c>
      <c r="T927" t="s">
        <v>2041</v>
      </c>
    </row>
    <row r="928" spans="1:20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14"/>
        <v>18</v>
      </c>
      <c r="G928" t="s">
        <v>14</v>
      </c>
      <c r="H928">
        <v>15</v>
      </c>
      <c r="I928" s="6"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5">
        <v>42502.208333333336</v>
      </c>
      <c r="O928" s="5">
        <v>42506.208333333336</v>
      </c>
      <c r="P928" t="b">
        <v>0</v>
      </c>
      <c r="Q928" t="b">
        <v>0</v>
      </c>
      <c r="R928" t="s">
        <v>17</v>
      </c>
      <c r="S928" t="s">
        <v>2034</v>
      </c>
      <c r="T928" t="s">
        <v>2035</v>
      </c>
    </row>
    <row r="929" spans="1:20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14"/>
        <v>46</v>
      </c>
      <c r="G929" t="s">
        <v>14</v>
      </c>
      <c r="H929">
        <v>37</v>
      </c>
      <c r="I929" s="6"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5">
        <v>41102.208333333336</v>
      </c>
      <c r="O929" s="5">
        <v>41131.208333333336</v>
      </c>
      <c r="P929" t="b">
        <v>0</v>
      </c>
      <c r="Q929" t="b">
        <v>0</v>
      </c>
      <c r="R929" t="s">
        <v>33</v>
      </c>
      <c r="S929" t="s">
        <v>2040</v>
      </c>
      <c r="T929" t="s">
        <v>2041</v>
      </c>
    </row>
    <row r="930" spans="1:20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14"/>
        <v>117</v>
      </c>
      <c r="G930" t="s">
        <v>20</v>
      </c>
      <c r="H930">
        <v>3777</v>
      </c>
      <c r="I930" s="6"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5">
        <v>41637.25</v>
      </c>
      <c r="O930" s="5">
        <v>41646.25</v>
      </c>
      <c r="P930" t="b">
        <v>0</v>
      </c>
      <c r="Q930" t="b">
        <v>0</v>
      </c>
      <c r="R930" t="s">
        <v>28</v>
      </c>
      <c r="S930" t="s">
        <v>2038</v>
      </c>
      <c r="T930" t="s">
        <v>2039</v>
      </c>
    </row>
    <row r="931" spans="1:20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14"/>
        <v>217</v>
      </c>
      <c r="G931" t="s">
        <v>20</v>
      </c>
      <c r="H931">
        <v>184</v>
      </c>
      <c r="I931" s="6"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5">
        <v>42858.208333333336</v>
      </c>
      <c r="O931" s="5">
        <v>42872.208333333336</v>
      </c>
      <c r="P931" t="b">
        <v>0</v>
      </c>
      <c r="Q931" t="b">
        <v>0</v>
      </c>
      <c r="R931" t="s">
        <v>33</v>
      </c>
      <c r="S931" t="s">
        <v>2040</v>
      </c>
      <c r="T931" t="s">
        <v>2041</v>
      </c>
    </row>
    <row r="932" spans="1:20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14"/>
        <v>112</v>
      </c>
      <c r="G932" t="s">
        <v>20</v>
      </c>
      <c r="H932">
        <v>85</v>
      </c>
      <c r="I932" s="6"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5">
        <v>42060.25</v>
      </c>
      <c r="O932" s="5">
        <v>42067.25</v>
      </c>
      <c r="P932" t="b">
        <v>0</v>
      </c>
      <c r="Q932" t="b">
        <v>1</v>
      </c>
      <c r="R932" t="s">
        <v>33</v>
      </c>
      <c r="S932" t="s">
        <v>2040</v>
      </c>
      <c r="T932" t="s">
        <v>2041</v>
      </c>
    </row>
    <row r="933" spans="1:20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14"/>
        <v>73</v>
      </c>
      <c r="G933" t="s">
        <v>14</v>
      </c>
      <c r="H933">
        <v>112</v>
      </c>
      <c r="I933" s="6"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5">
        <v>41818.208333333336</v>
      </c>
      <c r="O933" s="5">
        <v>41820.208333333336</v>
      </c>
      <c r="P933" t="b">
        <v>0</v>
      </c>
      <c r="Q933" t="b">
        <v>1</v>
      </c>
      <c r="R933" t="s">
        <v>33</v>
      </c>
      <c r="S933" t="s">
        <v>2040</v>
      </c>
      <c r="T933" t="s">
        <v>2041</v>
      </c>
    </row>
    <row r="934" spans="1:20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14"/>
        <v>212</v>
      </c>
      <c r="G934" t="s">
        <v>20</v>
      </c>
      <c r="H934">
        <v>144</v>
      </c>
      <c r="I934" s="6"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5">
        <v>41709.208333333336</v>
      </c>
      <c r="O934" s="5">
        <v>41712.208333333336</v>
      </c>
      <c r="P934" t="b">
        <v>0</v>
      </c>
      <c r="Q934" t="b">
        <v>0</v>
      </c>
      <c r="R934" t="s">
        <v>23</v>
      </c>
      <c r="S934" t="s">
        <v>2036</v>
      </c>
      <c r="T934" t="s">
        <v>2037</v>
      </c>
    </row>
    <row r="935" spans="1:20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14"/>
        <v>240</v>
      </c>
      <c r="G935" t="s">
        <v>20</v>
      </c>
      <c r="H935">
        <v>1902</v>
      </c>
      <c r="I935" s="6"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5">
        <v>41372.208333333336</v>
      </c>
      <c r="O935" s="5">
        <v>41385.208333333336</v>
      </c>
      <c r="P935" t="b">
        <v>0</v>
      </c>
      <c r="Q935" t="b">
        <v>0</v>
      </c>
      <c r="R935" t="s">
        <v>33</v>
      </c>
      <c r="S935" t="s">
        <v>2040</v>
      </c>
      <c r="T935" t="s">
        <v>2041</v>
      </c>
    </row>
    <row r="936" spans="1:20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14"/>
        <v>182</v>
      </c>
      <c r="G936" t="s">
        <v>20</v>
      </c>
      <c r="H936">
        <v>105</v>
      </c>
      <c r="I936" s="6"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5">
        <v>42422.25</v>
      </c>
      <c r="O936" s="5">
        <v>42428.25</v>
      </c>
      <c r="P936" t="b">
        <v>0</v>
      </c>
      <c r="Q936" t="b">
        <v>0</v>
      </c>
      <c r="R936" t="s">
        <v>33</v>
      </c>
      <c r="S936" t="s">
        <v>2040</v>
      </c>
      <c r="T936" t="s">
        <v>2041</v>
      </c>
    </row>
    <row r="937" spans="1:20" ht="31.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14"/>
        <v>164</v>
      </c>
      <c r="G937" t="s">
        <v>20</v>
      </c>
      <c r="H937">
        <v>132</v>
      </c>
      <c r="I937" s="6"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5">
        <v>42209.208333333336</v>
      </c>
      <c r="O937" s="5">
        <v>42216.208333333336</v>
      </c>
      <c r="P937" t="b">
        <v>0</v>
      </c>
      <c r="Q937" t="b">
        <v>0</v>
      </c>
      <c r="R937" t="s">
        <v>33</v>
      </c>
      <c r="S937" t="s">
        <v>2040</v>
      </c>
      <c r="T937" t="s">
        <v>2041</v>
      </c>
    </row>
    <row r="938" spans="1:20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14"/>
        <v>2</v>
      </c>
      <c r="G938" t="s">
        <v>14</v>
      </c>
      <c r="H938">
        <v>21</v>
      </c>
      <c r="I938" s="6"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5">
        <v>43668.208333333336</v>
      </c>
      <c r="O938" s="5">
        <v>43671.208333333336</v>
      </c>
      <c r="P938" t="b">
        <v>1</v>
      </c>
      <c r="Q938" t="b">
        <v>0</v>
      </c>
      <c r="R938" t="s">
        <v>33</v>
      </c>
      <c r="S938" t="s">
        <v>2040</v>
      </c>
      <c r="T938" t="s">
        <v>2041</v>
      </c>
    </row>
    <row r="939" spans="1:20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14"/>
        <v>50</v>
      </c>
      <c r="G939" t="s">
        <v>74</v>
      </c>
      <c r="H939">
        <v>976</v>
      </c>
      <c r="I939" s="6"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5">
        <v>42334.25</v>
      </c>
      <c r="O939" s="5">
        <v>42343.25</v>
      </c>
      <c r="P939" t="b">
        <v>0</v>
      </c>
      <c r="Q939" t="b">
        <v>0</v>
      </c>
      <c r="R939" t="s">
        <v>42</v>
      </c>
      <c r="S939" t="s">
        <v>2042</v>
      </c>
      <c r="T939" t="s">
        <v>2043</v>
      </c>
    </row>
    <row r="940" spans="1:20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14"/>
        <v>110</v>
      </c>
      <c r="G940" t="s">
        <v>20</v>
      </c>
      <c r="H940">
        <v>96</v>
      </c>
      <c r="I940" s="6"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5">
        <v>43263.208333333336</v>
      </c>
      <c r="O940" s="5">
        <v>43299.208333333336</v>
      </c>
      <c r="P940" t="b">
        <v>0</v>
      </c>
      <c r="Q940" t="b">
        <v>1</v>
      </c>
      <c r="R940" t="s">
        <v>119</v>
      </c>
      <c r="S940" t="s">
        <v>2048</v>
      </c>
      <c r="T940" t="s">
        <v>2054</v>
      </c>
    </row>
    <row r="941" spans="1:20" ht="31.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14"/>
        <v>49</v>
      </c>
      <c r="G941" t="s">
        <v>14</v>
      </c>
      <c r="H941">
        <v>67</v>
      </c>
      <c r="I941" s="6"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5">
        <v>40670.208333333336</v>
      </c>
      <c r="O941" s="5">
        <v>40687.208333333336</v>
      </c>
      <c r="P941" t="b">
        <v>0</v>
      </c>
      <c r="Q941" t="b">
        <v>1</v>
      </c>
      <c r="R941" t="s">
        <v>89</v>
      </c>
      <c r="S941" t="s">
        <v>2051</v>
      </c>
      <c r="T941" t="s">
        <v>2052</v>
      </c>
    </row>
    <row r="942" spans="1:20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14"/>
        <v>62</v>
      </c>
      <c r="G942" t="s">
        <v>47</v>
      </c>
      <c r="H942">
        <v>66</v>
      </c>
      <c r="I942" s="6"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5">
        <v>41244.25</v>
      </c>
      <c r="O942" s="5">
        <v>41266.25</v>
      </c>
      <c r="P942" t="b">
        <v>0</v>
      </c>
      <c r="Q942" t="b">
        <v>0</v>
      </c>
      <c r="R942" t="s">
        <v>28</v>
      </c>
      <c r="S942" t="s">
        <v>2038</v>
      </c>
      <c r="T942" t="s">
        <v>2039</v>
      </c>
    </row>
    <row r="943" spans="1:20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14"/>
        <v>13</v>
      </c>
      <c r="G943" t="s">
        <v>14</v>
      </c>
      <c r="H943">
        <v>78</v>
      </c>
      <c r="I943" s="6"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5">
        <v>40552.25</v>
      </c>
      <c r="O943" s="5">
        <v>40587.25</v>
      </c>
      <c r="P943" t="b">
        <v>1</v>
      </c>
      <c r="Q943" t="b">
        <v>0</v>
      </c>
      <c r="R943" t="s">
        <v>33</v>
      </c>
      <c r="S943" t="s">
        <v>2040</v>
      </c>
      <c r="T943" t="s">
        <v>2041</v>
      </c>
    </row>
    <row r="944" spans="1:20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14"/>
        <v>65</v>
      </c>
      <c r="G944" t="s">
        <v>14</v>
      </c>
      <c r="H944">
        <v>67</v>
      </c>
      <c r="I944" s="6"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5">
        <v>40568.25</v>
      </c>
      <c r="O944" s="5">
        <v>40571.25</v>
      </c>
      <c r="P944" t="b">
        <v>0</v>
      </c>
      <c r="Q944" t="b">
        <v>0</v>
      </c>
      <c r="R944" t="s">
        <v>33</v>
      </c>
      <c r="S944" t="s">
        <v>2040</v>
      </c>
      <c r="T944" t="s">
        <v>2041</v>
      </c>
    </row>
    <row r="945" spans="1:20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14"/>
        <v>160</v>
      </c>
      <c r="G945" t="s">
        <v>20</v>
      </c>
      <c r="H945">
        <v>114</v>
      </c>
      <c r="I945" s="6"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5">
        <v>41906.208333333336</v>
      </c>
      <c r="O945" s="5">
        <v>41941.208333333336</v>
      </c>
      <c r="P945" t="b">
        <v>0</v>
      </c>
      <c r="Q945" t="b">
        <v>0</v>
      </c>
      <c r="R945" t="s">
        <v>17</v>
      </c>
      <c r="S945" t="s">
        <v>2034</v>
      </c>
      <c r="T945" t="s">
        <v>2035</v>
      </c>
    </row>
    <row r="946" spans="1:20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14"/>
        <v>81</v>
      </c>
      <c r="G946" t="s">
        <v>14</v>
      </c>
      <c r="H946">
        <v>263</v>
      </c>
      <c r="I946" s="6"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5">
        <v>42776.25</v>
      </c>
      <c r="O946" s="5">
        <v>42795.25</v>
      </c>
      <c r="P946" t="b">
        <v>0</v>
      </c>
      <c r="Q946" t="b">
        <v>0</v>
      </c>
      <c r="R946" t="s">
        <v>122</v>
      </c>
      <c r="S946" t="s">
        <v>2055</v>
      </c>
      <c r="T946" t="s">
        <v>2056</v>
      </c>
    </row>
    <row r="947" spans="1:20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14"/>
        <v>32</v>
      </c>
      <c r="G947" t="s">
        <v>14</v>
      </c>
      <c r="H947">
        <v>1691</v>
      </c>
      <c r="I947" s="6"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5">
        <v>41004.208333333336</v>
      </c>
      <c r="O947" s="5">
        <v>41019.208333333336</v>
      </c>
      <c r="P947" t="b">
        <v>1</v>
      </c>
      <c r="Q947" t="b">
        <v>0</v>
      </c>
      <c r="R947" t="s">
        <v>122</v>
      </c>
      <c r="S947" t="s">
        <v>2055</v>
      </c>
      <c r="T947" t="s">
        <v>2056</v>
      </c>
    </row>
    <row r="948" spans="1:20" ht="31.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14"/>
        <v>10</v>
      </c>
      <c r="G948" t="s">
        <v>14</v>
      </c>
      <c r="H948">
        <v>181</v>
      </c>
      <c r="I948" s="6"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5">
        <v>40710.208333333336</v>
      </c>
      <c r="O948" s="5">
        <v>40712.208333333336</v>
      </c>
      <c r="P948" t="b">
        <v>0</v>
      </c>
      <c r="Q948" t="b">
        <v>0</v>
      </c>
      <c r="R948" t="s">
        <v>33</v>
      </c>
      <c r="S948" t="s">
        <v>2040</v>
      </c>
      <c r="T948" t="s">
        <v>2041</v>
      </c>
    </row>
    <row r="949" spans="1:20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14"/>
        <v>27</v>
      </c>
      <c r="G949" t="s">
        <v>14</v>
      </c>
      <c r="H949">
        <v>13</v>
      </c>
      <c r="I949" s="6"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5">
        <v>41908.208333333336</v>
      </c>
      <c r="O949" s="5">
        <v>41915.208333333336</v>
      </c>
      <c r="P949" t="b">
        <v>0</v>
      </c>
      <c r="Q949" t="b">
        <v>0</v>
      </c>
      <c r="R949" t="s">
        <v>33</v>
      </c>
      <c r="S949" t="s">
        <v>2040</v>
      </c>
      <c r="T949" t="s">
        <v>2041</v>
      </c>
    </row>
    <row r="950" spans="1:20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14"/>
        <v>63</v>
      </c>
      <c r="G950" t="s">
        <v>74</v>
      </c>
      <c r="H950">
        <v>160</v>
      </c>
      <c r="I950" s="6"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5">
        <v>41985.25</v>
      </c>
      <c r="O950" s="5">
        <v>41995.25</v>
      </c>
      <c r="P950" t="b">
        <v>1</v>
      </c>
      <c r="Q950" t="b">
        <v>1</v>
      </c>
      <c r="R950" t="s">
        <v>42</v>
      </c>
      <c r="S950" t="s">
        <v>2042</v>
      </c>
      <c r="T950" t="s">
        <v>2043</v>
      </c>
    </row>
    <row r="951" spans="1:20" ht="31.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14"/>
        <v>161</v>
      </c>
      <c r="G951" t="s">
        <v>20</v>
      </c>
      <c r="H951">
        <v>203</v>
      </c>
      <c r="I951" s="6"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5">
        <v>42112.208333333336</v>
      </c>
      <c r="O951" s="5">
        <v>42131.208333333336</v>
      </c>
      <c r="P951" t="b">
        <v>0</v>
      </c>
      <c r="Q951" t="b">
        <v>0</v>
      </c>
      <c r="R951" t="s">
        <v>28</v>
      </c>
      <c r="S951" t="s">
        <v>2038</v>
      </c>
      <c r="T951" t="s">
        <v>2039</v>
      </c>
    </row>
    <row r="952" spans="1:20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14"/>
        <v>5</v>
      </c>
      <c r="G952" t="s">
        <v>14</v>
      </c>
      <c r="H952">
        <v>1</v>
      </c>
      <c r="I952" s="6">
        <v>5</v>
      </c>
      <c r="J952" t="s">
        <v>21</v>
      </c>
      <c r="K952" t="s">
        <v>22</v>
      </c>
      <c r="L952">
        <v>1555390800</v>
      </c>
      <c r="M952">
        <v>1555822800</v>
      </c>
      <c r="N952" s="5">
        <v>43571.208333333336</v>
      </c>
      <c r="O952" s="5">
        <v>43576.208333333336</v>
      </c>
      <c r="P952" t="b">
        <v>0</v>
      </c>
      <c r="Q952" t="b">
        <v>1</v>
      </c>
      <c r="R952" t="s">
        <v>33</v>
      </c>
      <c r="S952" t="s">
        <v>2040</v>
      </c>
      <c r="T952" t="s">
        <v>2041</v>
      </c>
    </row>
    <row r="953" spans="1:20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14"/>
        <v>1097</v>
      </c>
      <c r="G953" t="s">
        <v>20</v>
      </c>
      <c r="H953">
        <v>1559</v>
      </c>
      <c r="I953" s="6"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5">
        <v>42730.25</v>
      </c>
      <c r="O953" s="5">
        <v>42731.25</v>
      </c>
      <c r="P953" t="b">
        <v>0</v>
      </c>
      <c r="Q953" t="b">
        <v>1</v>
      </c>
      <c r="R953" t="s">
        <v>23</v>
      </c>
      <c r="S953" t="s">
        <v>2036</v>
      </c>
      <c r="T953" t="s">
        <v>2037</v>
      </c>
    </row>
    <row r="954" spans="1:20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14"/>
        <v>70</v>
      </c>
      <c r="G954" t="s">
        <v>74</v>
      </c>
      <c r="H954">
        <v>2266</v>
      </c>
      <c r="I954" s="6"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5">
        <v>42591.208333333336</v>
      </c>
      <c r="O954" s="5">
        <v>42605.208333333336</v>
      </c>
      <c r="P954" t="b">
        <v>0</v>
      </c>
      <c r="Q954" t="b">
        <v>0</v>
      </c>
      <c r="R954" t="s">
        <v>42</v>
      </c>
      <c r="S954" t="s">
        <v>2042</v>
      </c>
      <c r="T954" t="s">
        <v>2043</v>
      </c>
    </row>
    <row r="955" spans="1:20" ht="31.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14"/>
        <v>60</v>
      </c>
      <c r="G955" t="s">
        <v>14</v>
      </c>
      <c r="H955">
        <v>21</v>
      </c>
      <c r="I955" s="6"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5">
        <v>42358.25</v>
      </c>
      <c r="O955" s="5">
        <v>42394.25</v>
      </c>
      <c r="P955" t="b">
        <v>0</v>
      </c>
      <c r="Q955" t="b">
        <v>1</v>
      </c>
      <c r="R955" t="s">
        <v>474</v>
      </c>
      <c r="S955" t="s">
        <v>2042</v>
      </c>
      <c r="T955" t="s">
        <v>2064</v>
      </c>
    </row>
    <row r="956" spans="1:20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14"/>
        <v>367</v>
      </c>
      <c r="G956" t="s">
        <v>20</v>
      </c>
      <c r="H956">
        <v>1548</v>
      </c>
      <c r="I956" s="6"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5">
        <v>41174.208333333336</v>
      </c>
      <c r="O956" s="5">
        <v>41198.208333333336</v>
      </c>
      <c r="P956" t="b">
        <v>0</v>
      </c>
      <c r="Q956" t="b">
        <v>0</v>
      </c>
      <c r="R956" t="s">
        <v>28</v>
      </c>
      <c r="S956" t="s">
        <v>2038</v>
      </c>
      <c r="T956" t="s">
        <v>2039</v>
      </c>
    </row>
    <row r="957" spans="1:20" ht="31.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14"/>
        <v>1109</v>
      </c>
      <c r="G957" t="s">
        <v>20</v>
      </c>
      <c r="H957">
        <v>80</v>
      </c>
      <c r="I957" s="6"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5">
        <v>41238.25</v>
      </c>
      <c r="O957" s="5">
        <v>41240.25</v>
      </c>
      <c r="P957" t="b">
        <v>0</v>
      </c>
      <c r="Q957" t="b">
        <v>0</v>
      </c>
      <c r="R957" t="s">
        <v>33</v>
      </c>
      <c r="S957" t="s">
        <v>2040</v>
      </c>
      <c r="T957" t="s">
        <v>2041</v>
      </c>
    </row>
    <row r="958" spans="1:20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14"/>
        <v>19</v>
      </c>
      <c r="G958" t="s">
        <v>14</v>
      </c>
      <c r="H958">
        <v>830</v>
      </c>
      <c r="I958" s="6"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5">
        <v>42360.25</v>
      </c>
      <c r="O958" s="5">
        <v>42364.25</v>
      </c>
      <c r="P958" t="b">
        <v>0</v>
      </c>
      <c r="Q958" t="b">
        <v>0</v>
      </c>
      <c r="R958" t="s">
        <v>474</v>
      </c>
      <c r="S958" t="s">
        <v>2042</v>
      </c>
      <c r="T958" t="s">
        <v>2064</v>
      </c>
    </row>
    <row r="959" spans="1:20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14"/>
        <v>127</v>
      </c>
      <c r="G959" t="s">
        <v>20</v>
      </c>
      <c r="H959">
        <v>131</v>
      </c>
      <c r="I959" s="6"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5">
        <v>40955.25</v>
      </c>
      <c r="O959" s="5">
        <v>40958.25</v>
      </c>
      <c r="P959" t="b">
        <v>0</v>
      </c>
      <c r="Q959" t="b">
        <v>0</v>
      </c>
      <c r="R959" t="s">
        <v>33</v>
      </c>
      <c r="S959" t="s">
        <v>2040</v>
      </c>
      <c r="T959" t="s">
        <v>2041</v>
      </c>
    </row>
    <row r="960" spans="1:20" ht="31.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14"/>
        <v>735</v>
      </c>
      <c r="G960" t="s">
        <v>20</v>
      </c>
      <c r="H960">
        <v>112</v>
      </c>
      <c r="I960" s="6"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5">
        <v>40350.208333333336</v>
      </c>
      <c r="O960" s="5">
        <v>40372.208333333336</v>
      </c>
      <c r="P960" t="b">
        <v>0</v>
      </c>
      <c r="Q960" t="b">
        <v>0</v>
      </c>
      <c r="R960" t="s">
        <v>71</v>
      </c>
      <c r="S960" t="s">
        <v>2042</v>
      </c>
      <c r="T960" t="s">
        <v>2050</v>
      </c>
    </row>
    <row r="961" spans="1:20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14"/>
        <v>5</v>
      </c>
      <c r="G961" t="s">
        <v>14</v>
      </c>
      <c r="H961">
        <v>130</v>
      </c>
      <c r="I961" s="6"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5">
        <v>40357.208333333336</v>
      </c>
      <c r="O961" s="5">
        <v>40385.208333333336</v>
      </c>
      <c r="P961" t="b">
        <v>0</v>
      </c>
      <c r="Q961" t="b">
        <v>0</v>
      </c>
      <c r="R961" t="s">
        <v>206</v>
      </c>
      <c r="S961" t="s">
        <v>2048</v>
      </c>
      <c r="T961" t="s">
        <v>2060</v>
      </c>
    </row>
    <row r="962" spans="1:20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14"/>
        <v>85</v>
      </c>
      <c r="G962" t="s">
        <v>14</v>
      </c>
      <c r="H962">
        <v>55</v>
      </c>
      <c r="I962" s="6"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5">
        <v>42408.25</v>
      </c>
      <c r="O962" s="5">
        <v>42445.208333333336</v>
      </c>
      <c r="P962" t="b">
        <v>0</v>
      </c>
      <c r="Q962" t="b">
        <v>0</v>
      </c>
      <c r="R962" t="s">
        <v>28</v>
      </c>
      <c r="S962" t="s">
        <v>2038</v>
      </c>
      <c r="T962" t="s">
        <v>2039</v>
      </c>
    </row>
    <row r="963" spans="1:20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si="14"/>
        <v>119</v>
      </c>
      <c r="G963" t="s">
        <v>20</v>
      </c>
      <c r="H963">
        <v>155</v>
      </c>
      <c r="I963" s="6"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5">
        <v>40591.25</v>
      </c>
      <c r="O963" s="5">
        <v>40595.25</v>
      </c>
      <c r="P963" t="b">
        <v>0</v>
      </c>
      <c r="Q963" t="b">
        <v>0</v>
      </c>
      <c r="R963" t="s">
        <v>206</v>
      </c>
      <c r="S963" t="s">
        <v>2048</v>
      </c>
      <c r="T963" t="s">
        <v>2060</v>
      </c>
    </row>
    <row r="964" spans="1:20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ref="F964:F1001" si="15">ROUND(E964/D964*100,0)</f>
        <v>296</v>
      </c>
      <c r="G964" t="s">
        <v>20</v>
      </c>
      <c r="H964">
        <v>266</v>
      </c>
      <c r="I964" s="6"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5">
        <v>41592.25</v>
      </c>
      <c r="O964" s="5">
        <v>41613.25</v>
      </c>
      <c r="P964" t="b">
        <v>0</v>
      </c>
      <c r="Q964" t="b">
        <v>0</v>
      </c>
      <c r="R964" t="s">
        <v>17</v>
      </c>
      <c r="S964" t="s">
        <v>2034</v>
      </c>
      <c r="T964" t="s">
        <v>2035</v>
      </c>
    </row>
    <row r="965" spans="1:20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15"/>
        <v>85</v>
      </c>
      <c r="G965" t="s">
        <v>14</v>
      </c>
      <c r="H965">
        <v>114</v>
      </c>
      <c r="I965" s="6"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5">
        <v>40607.25</v>
      </c>
      <c r="O965" s="5">
        <v>40613.25</v>
      </c>
      <c r="P965" t="b">
        <v>0</v>
      </c>
      <c r="Q965" t="b">
        <v>1</v>
      </c>
      <c r="R965" t="s">
        <v>122</v>
      </c>
      <c r="S965" t="s">
        <v>2055</v>
      </c>
      <c r="T965" t="s">
        <v>2056</v>
      </c>
    </row>
    <row r="966" spans="1:20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15"/>
        <v>356</v>
      </c>
      <c r="G966" t="s">
        <v>20</v>
      </c>
      <c r="H966">
        <v>155</v>
      </c>
      <c r="I966" s="6"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5">
        <v>42135.208333333336</v>
      </c>
      <c r="O966" s="5">
        <v>42140.208333333336</v>
      </c>
      <c r="P966" t="b">
        <v>0</v>
      </c>
      <c r="Q966" t="b">
        <v>0</v>
      </c>
      <c r="R966" t="s">
        <v>33</v>
      </c>
      <c r="S966" t="s">
        <v>2040</v>
      </c>
      <c r="T966" t="s">
        <v>2041</v>
      </c>
    </row>
    <row r="967" spans="1:20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15"/>
        <v>386</v>
      </c>
      <c r="G967" t="s">
        <v>20</v>
      </c>
      <c r="H967">
        <v>207</v>
      </c>
      <c r="I967" s="6"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5">
        <v>40203.25</v>
      </c>
      <c r="O967" s="5">
        <v>40243.25</v>
      </c>
      <c r="P967" t="b">
        <v>0</v>
      </c>
      <c r="Q967" t="b">
        <v>0</v>
      </c>
      <c r="R967" t="s">
        <v>23</v>
      </c>
      <c r="S967" t="s">
        <v>2036</v>
      </c>
      <c r="T967" t="s">
        <v>2037</v>
      </c>
    </row>
    <row r="968" spans="1:20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15"/>
        <v>792</v>
      </c>
      <c r="G968" t="s">
        <v>20</v>
      </c>
      <c r="H968">
        <v>245</v>
      </c>
      <c r="I968" s="6"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5">
        <v>42901.208333333336</v>
      </c>
      <c r="O968" s="5">
        <v>42903.208333333336</v>
      </c>
      <c r="P968" t="b">
        <v>0</v>
      </c>
      <c r="Q968" t="b">
        <v>0</v>
      </c>
      <c r="R968" t="s">
        <v>33</v>
      </c>
      <c r="S968" t="s">
        <v>2040</v>
      </c>
      <c r="T968" t="s">
        <v>2041</v>
      </c>
    </row>
    <row r="969" spans="1:20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15"/>
        <v>137</v>
      </c>
      <c r="G969" t="s">
        <v>20</v>
      </c>
      <c r="H969">
        <v>1573</v>
      </c>
      <c r="I969" s="6"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5">
        <v>41005.208333333336</v>
      </c>
      <c r="O969" s="5">
        <v>41042.208333333336</v>
      </c>
      <c r="P969" t="b">
        <v>0</v>
      </c>
      <c r="Q969" t="b">
        <v>0</v>
      </c>
      <c r="R969" t="s">
        <v>319</v>
      </c>
      <c r="S969" t="s">
        <v>2036</v>
      </c>
      <c r="T969" t="s">
        <v>2063</v>
      </c>
    </row>
    <row r="970" spans="1:20" ht="31.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15"/>
        <v>338</v>
      </c>
      <c r="G970" t="s">
        <v>20</v>
      </c>
      <c r="H970">
        <v>114</v>
      </c>
      <c r="I970" s="6"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5">
        <v>40544.25</v>
      </c>
      <c r="O970" s="5">
        <v>40559.25</v>
      </c>
      <c r="P970" t="b">
        <v>0</v>
      </c>
      <c r="Q970" t="b">
        <v>0</v>
      </c>
      <c r="R970" t="s">
        <v>17</v>
      </c>
      <c r="S970" t="s">
        <v>2034</v>
      </c>
      <c r="T970" t="s">
        <v>2035</v>
      </c>
    </row>
    <row r="971" spans="1:20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15"/>
        <v>108</v>
      </c>
      <c r="G971" t="s">
        <v>20</v>
      </c>
      <c r="H971">
        <v>93</v>
      </c>
      <c r="I971" s="6"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5">
        <v>43821.25</v>
      </c>
      <c r="O971" s="5">
        <v>43828.25</v>
      </c>
      <c r="P971" t="b">
        <v>0</v>
      </c>
      <c r="Q971" t="b">
        <v>0</v>
      </c>
      <c r="R971" t="s">
        <v>33</v>
      </c>
      <c r="S971" t="s">
        <v>2040</v>
      </c>
      <c r="T971" t="s">
        <v>2041</v>
      </c>
    </row>
    <row r="972" spans="1:20" ht="31.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15"/>
        <v>61</v>
      </c>
      <c r="G972" t="s">
        <v>14</v>
      </c>
      <c r="H972">
        <v>594</v>
      </c>
      <c r="I972" s="6"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5">
        <v>40672.208333333336</v>
      </c>
      <c r="O972" s="5">
        <v>40673.208333333336</v>
      </c>
      <c r="P972" t="b">
        <v>0</v>
      </c>
      <c r="Q972" t="b">
        <v>0</v>
      </c>
      <c r="R972" t="s">
        <v>33</v>
      </c>
      <c r="S972" t="s">
        <v>2040</v>
      </c>
      <c r="T972" t="s">
        <v>2041</v>
      </c>
    </row>
    <row r="973" spans="1:20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15"/>
        <v>28</v>
      </c>
      <c r="G973" t="s">
        <v>14</v>
      </c>
      <c r="H973">
        <v>24</v>
      </c>
      <c r="I973" s="6"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5">
        <v>41555.208333333336</v>
      </c>
      <c r="O973" s="5">
        <v>41561.208333333336</v>
      </c>
      <c r="P973" t="b">
        <v>0</v>
      </c>
      <c r="Q973" t="b">
        <v>0</v>
      </c>
      <c r="R973" t="s">
        <v>269</v>
      </c>
      <c r="S973" t="s">
        <v>2042</v>
      </c>
      <c r="T973" t="s">
        <v>2061</v>
      </c>
    </row>
    <row r="974" spans="1:20" ht="31.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15"/>
        <v>228</v>
      </c>
      <c r="G974" t="s">
        <v>20</v>
      </c>
      <c r="H974">
        <v>1681</v>
      </c>
      <c r="I974" s="6"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5">
        <v>41792.208333333336</v>
      </c>
      <c r="O974" s="5">
        <v>41801.208333333336</v>
      </c>
      <c r="P974" t="b">
        <v>0</v>
      </c>
      <c r="Q974" t="b">
        <v>1</v>
      </c>
      <c r="R974" t="s">
        <v>28</v>
      </c>
      <c r="S974" t="s">
        <v>2038</v>
      </c>
      <c r="T974" t="s">
        <v>2039</v>
      </c>
    </row>
    <row r="975" spans="1:20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15"/>
        <v>22</v>
      </c>
      <c r="G975" t="s">
        <v>14</v>
      </c>
      <c r="H975">
        <v>252</v>
      </c>
      <c r="I975" s="6"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5">
        <v>40522.25</v>
      </c>
      <c r="O975" s="5">
        <v>40524.25</v>
      </c>
      <c r="P975" t="b">
        <v>0</v>
      </c>
      <c r="Q975" t="b">
        <v>1</v>
      </c>
      <c r="R975" t="s">
        <v>33</v>
      </c>
      <c r="S975" t="s">
        <v>2040</v>
      </c>
      <c r="T975" t="s">
        <v>2041</v>
      </c>
    </row>
    <row r="976" spans="1:20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15"/>
        <v>374</v>
      </c>
      <c r="G976" t="s">
        <v>20</v>
      </c>
      <c r="H976">
        <v>32</v>
      </c>
      <c r="I976" s="6">
        <v>93.46875</v>
      </c>
      <c r="J976" t="s">
        <v>21</v>
      </c>
      <c r="K976" t="s">
        <v>22</v>
      </c>
      <c r="L976">
        <v>1368853200</v>
      </c>
      <c r="M976">
        <v>1368939600</v>
      </c>
      <c r="N976" s="5">
        <v>41412.208333333336</v>
      </c>
      <c r="O976" s="5">
        <v>41413.208333333336</v>
      </c>
      <c r="P976" t="b">
        <v>0</v>
      </c>
      <c r="Q976" t="b">
        <v>0</v>
      </c>
      <c r="R976" t="s">
        <v>60</v>
      </c>
      <c r="S976" t="s">
        <v>2036</v>
      </c>
      <c r="T976" t="s">
        <v>2046</v>
      </c>
    </row>
    <row r="977" spans="1:20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15"/>
        <v>155</v>
      </c>
      <c r="G977" t="s">
        <v>20</v>
      </c>
      <c r="H977">
        <v>135</v>
      </c>
      <c r="I977" s="6"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5">
        <v>42337.25</v>
      </c>
      <c r="O977" s="5">
        <v>42376.25</v>
      </c>
      <c r="P977" t="b">
        <v>0</v>
      </c>
      <c r="Q977" t="b">
        <v>1</v>
      </c>
      <c r="R977" t="s">
        <v>33</v>
      </c>
      <c r="S977" t="s">
        <v>2040</v>
      </c>
      <c r="T977" t="s">
        <v>2041</v>
      </c>
    </row>
    <row r="978" spans="1:20" ht="31.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15"/>
        <v>322</v>
      </c>
      <c r="G978" t="s">
        <v>20</v>
      </c>
      <c r="H978">
        <v>140</v>
      </c>
      <c r="I978" s="6"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5">
        <v>40571.25</v>
      </c>
      <c r="O978" s="5">
        <v>40577.25</v>
      </c>
      <c r="P978" t="b">
        <v>0</v>
      </c>
      <c r="Q978" t="b">
        <v>1</v>
      </c>
      <c r="R978" t="s">
        <v>33</v>
      </c>
      <c r="S978" t="s">
        <v>2040</v>
      </c>
      <c r="T978" t="s">
        <v>2041</v>
      </c>
    </row>
    <row r="979" spans="1:20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15"/>
        <v>74</v>
      </c>
      <c r="G979" t="s">
        <v>14</v>
      </c>
      <c r="H979">
        <v>67</v>
      </c>
      <c r="I979" s="6"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5">
        <v>43138.25</v>
      </c>
      <c r="O979" s="5">
        <v>43170.25</v>
      </c>
      <c r="P979" t="b">
        <v>0</v>
      </c>
      <c r="Q979" t="b">
        <v>0</v>
      </c>
      <c r="R979" t="s">
        <v>17</v>
      </c>
      <c r="S979" t="s">
        <v>2034</v>
      </c>
      <c r="T979" t="s">
        <v>2035</v>
      </c>
    </row>
    <row r="980" spans="1:20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15"/>
        <v>864</v>
      </c>
      <c r="G980" t="s">
        <v>20</v>
      </c>
      <c r="H980">
        <v>92</v>
      </c>
      <c r="I980" s="6"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5">
        <v>42686.25</v>
      </c>
      <c r="O980" s="5">
        <v>42708.25</v>
      </c>
      <c r="P980" t="b">
        <v>0</v>
      </c>
      <c r="Q980" t="b">
        <v>0</v>
      </c>
      <c r="R980" t="s">
        <v>89</v>
      </c>
      <c r="S980" t="s">
        <v>2051</v>
      </c>
      <c r="T980" t="s">
        <v>2052</v>
      </c>
    </row>
    <row r="981" spans="1:20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15"/>
        <v>143</v>
      </c>
      <c r="G981" t="s">
        <v>20</v>
      </c>
      <c r="H981">
        <v>1015</v>
      </c>
      <c r="I981" s="6"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5">
        <v>42078.208333333336</v>
      </c>
      <c r="O981" s="5">
        <v>42084.208333333336</v>
      </c>
      <c r="P981" t="b">
        <v>0</v>
      </c>
      <c r="Q981" t="b">
        <v>0</v>
      </c>
      <c r="R981" t="s">
        <v>33</v>
      </c>
      <c r="S981" t="s">
        <v>2040</v>
      </c>
      <c r="T981" t="s">
        <v>2041</v>
      </c>
    </row>
    <row r="982" spans="1:20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15"/>
        <v>40</v>
      </c>
      <c r="G982" t="s">
        <v>14</v>
      </c>
      <c r="H982">
        <v>742</v>
      </c>
      <c r="I982" s="6"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5">
        <v>42307.208333333336</v>
      </c>
      <c r="O982" s="5">
        <v>42312.25</v>
      </c>
      <c r="P982" t="b">
        <v>1</v>
      </c>
      <c r="Q982" t="b">
        <v>0</v>
      </c>
      <c r="R982" t="s">
        <v>68</v>
      </c>
      <c r="S982" t="s">
        <v>2048</v>
      </c>
      <c r="T982" t="s">
        <v>2049</v>
      </c>
    </row>
    <row r="983" spans="1:20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15"/>
        <v>178</v>
      </c>
      <c r="G983" t="s">
        <v>20</v>
      </c>
      <c r="H983">
        <v>323</v>
      </c>
      <c r="I983" s="6"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5">
        <v>43094.25</v>
      </c>
      <c r="O983" s="5">
        <v>43127.25</v>
      </c>
      <c r="P983" t="b">
        <v>0</v>
      </c>
      <c r="Q983" t="b">
        <v>0</v>
      </c>
      <c r="R983" t="s">
        <v>28</v>
      </c>
      <c r="S983" t="s">
        <v>2038</v>
      </c>
      <c r="T983" t="s">
        <v>2039</v>
      </c>
    </row>
    <row r="984" spans="1:20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15"/>
        <v>85</v>
      </c>
      <c r="G984" t="s">
        <v>14</v>
      </c>
      <c r="H984">
        <v>75</v>
      </c>
      <c r="I984" s="6"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5">
        <v>40743.208333333336</v>
      </c>
      <c r="O984" s="5">
        <v>40745.208333333336</v>
      </c>
      <c r="P984" t="b">
        <v>0</v>
      </c>
      <c r="Q984" t="b">
        <v>1</v>
      </c>
      <c r="R984" t="s">
        <v>42</v>
      </c>
      <c r="S984" t="s">
        <v>2042</v>
      </c>
      <c r="T984" t="s">
        <v>2043</v>
      </c>
    </row>
    <row r="985" spans="1:20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15"/>
        <v>146</v>
      </c>
      <c r="G985" t="s">
        <v>20</v>
      </c>
      <c r="H985">
        <v>2326</v>
      </c>
      <c r="I985" s="6"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5">
        <v>43681.208333333336</v>
      </c>
      <c r="O985" s="5">
        <v>43696.208333333336</v>
      </c>
      <c r="P985" t="b">
        <v>0</v>
      </c>
      <c r="Q985" t="b">
        <v>0</v>
      </c>
      <c r="R985" t="s">
        <v>42</v>
      </c>
      <c r="S985" t="s">
        <v>2042</v>
      </c>
      <c r="T985" t="s">
        <v>2043</v>
      </c>
    </row>
    <row r="986" spans="1:20" ht="31.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15"/>
        <v>152</v>
      </c>
      <c r="G986" t="s">
        <v>20</v>
      </c>
      <c r="H986">
        <v>381</v>
      </c>
      <c r="I986" s="6"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5">
        <v>43716.208333333336</v>
      </c>
      <c r="O986" s="5">
        <v>43742.208333333336</v>
      </c>
      <c r="P986" t="b">
        <v>0</v>
      </c>
      <c r="Q986" t="b">
        <v>0</v>
      </c>
      <c r="R986" t="s">
        <v>33</v>
      </c>
      <c r="S986" t="s">
        <v>2040</v>
      </c>
      <c r="T986" t="s">
        <v>2041</v>
      </c>
    </row>
    <row r="987" spans="1:20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15"/>
        <v>67</v>
      </c>
      <c r="G987" t="s">
        <v>14</v>
      </c>
      <c r="H987">
        <v>4405</v>
      </c>
      <c r="I987" s="6"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5">
        <v>41614.25</v>
      </c>
      <c r="O987" s="5">
        <v>41640.25</v>
      </c>
      <c r="P987" t="b">
        <v>0</v>
      </c>
      <c r="Q987" t="b">
        <v>1</v>
      </c>
      <c r="R987" t="s">
        <v>23</v>
      </c>
      <c r="S987" t="s">
        <v>2036</v>
      </c>
      <c r="T987" t="s">
        <v>2037</v>
      </c>
    </row>
    <row r="988" spans="1:20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15"/>
        <v>40</v>
      </c>
      <c r="G988" t="s">
        <v>14</v>
      </c>
      <c r="H988">
        <v>92</v>
      </c>
      <c r="I988" s="6"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5">
        <v>40638.208333333336</v>
      </c>
      <c r="O988" s="5">
        <v>40652.208333333336</v>
      </c>
      <c r="P988" t="b">
        <v>0</v>
      </c>
      <c r="Q988" t="b">
        <v>0</v>
      </c>
      <c r="R988" t="s">
        <v>23</v>
      </c>
      <c r="S988" t="s">
        <v>2036</v>
      </c>
      <c r="T988" t="s">
        <v>2037</v>
      </c>
    </row>
    <row r="989" spans="1:20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15"/>
        <v>217</v>
      </c>
      <c r="G989" t="s">
        <v>20</v>
      </c>
      <c r="H989">
        <v>480</v>
      </c>
      <c r="I989" s="6"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5">
        <v>42852.208333333336</v>
      </c>
      <c r="O989" s="5">
        <v>42866.208333333336</v>
      </c>
      <c r="P989" t="b">
        <v>0</v>
      </c>
      <c r="Q989" t="b">
        <v>0</v>
      </c>
      <c r="R989" t="s">
        <v>42</v>
      </c>
      <c r="S989" t="s">
        <v>2042</v>
      </c>
      <c r="T989" t="s">
        <v>2043</v>
      </c>
    </row>
    <row r="990" spans="1:20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15"/>
        <v>52</v>
      </c>
      <c r="G990" t="s">
        <v>14</v>
      </c>
      <c r="H990">
        <v>64</v>
      </c>
      <c r="I990" s="6">
        <v>76.546875</v>
      </c>
      <c r="J990" t="s">
        <v>21</v>
      </c>
      <c r="K990" t="s">
        <v>22</v>
      </c>
      <c r="L990">
        <v>1478930400</v>
      </c>
      <c r="M990">
        <v>1480744800</v>
      </c>
      <c r="N990" s="5">
        <v>42686.25</v>
      </c>
      <c r="O990" s="5">
        <v>42707.25</v>
      </c>
      <c r="P990" t="b">
        <v>0</v>
      </c>
      <c r="Q990" t="b">
        <v>0</v>
      </c>
      <c r="R990" t="s">
        <v>133</v>
      </c>
      <c r="S990" t="s">
        <v>2048</v>
      </c>
      <c r="T990" t="s">
        <v>2057</v>
      </c>
    </row>
    <row r="991" spans="1:20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15"/>
        <v>500</v>
      </c>
      <c r="G991" t="s">
        <v>20</v>
      </c>
      <c r="H991">
        <v>226</v>
      </c>
      <c r="I991" s="6"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5">
        <v>43571.208333333336</v>
      </c>
      <c r="O991" s="5">
        <v>43576.208333333336</v>
      </c>
      <c r="P991" t="b">
        <v>0</v>
      </c>
      <c r="Q991" t="b">
        <v>0</v>
      </c>
      <c r="R991" t="s">
        <v>206</v>
      </c>
      <c r="S991" t="s">
        <v>2048</v>
      </c>
      <c r="T991" t="s">
        <v>2060</v>
      </c>
    </row>
    <row r="992" spans="1:20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15"/>
        <v>88</v>
      </c>
      <c r="G992" t="s">
        <v>14</v>
      </c>
      <c r="H992">
        <v>64</v>
      </c>
      <c r="I992" s="6"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5">
        <v>42432.25</v>
      </c>
      <c r="O992" s="5">
        <v>42454.208333333336</v>
      </c>
      <c r="P992" t="b">
        <v>0</v>
      </c>
      <c r="Q992" t="b">
        <v>1</v>
      </c>
      <c r="R992" t="s">
        <v>53</v>
      </c>
      <c r="S992" t="s">
        <v>2042</v>
      </c>
      <c r="T992" t="s">
        <v>2045</v>
      </c>
    </row>
    <row r="993" spans="1:20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15"/>
        <v>113</v>
      </c>
      <c r="G993" t="s">
        <v>20</v>
      </c>
      <c r="H993">
        <v>241</v>
      </c>
      <c r="I993" s="6"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5">
        <v>41907.208333333336</v>
      </c>
      <c r="O993" s="5">
        <v>41911.208333333336</v>
      </c>
      <c r="P993" t="b">
        <v>0</v>
      </c>
      <c r="Q993" t="b">
        <v>1</v>
      </c>
      <c r="R993" t="s">
        <v>23</v>
      </c>
      <c r="S993" t="s">
        <v>2036</v>
      </c>
      <c r="T993" t="s">
        <v>2037</v>
      </c>
    </row>
    <row r="994" spans="1:20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15"/>
        <v>427</v>
      </c>
      <c r="G994" t="s">
        <v>20</v>
      </c>
      <c r="H994">
        <v>132</v>
      </c>
      <c r="I994" s="6"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5">
        <v>43227.208333333336</v>
      </c>
      <c r="O994" s="5">
        <v>43241.208333333336</v>
      </c>
      <c r="P994" t="b">
        <v>0</v>
      </c>
      <c r="Q994" t="b">
        <v>1</v>
      </c>
      <c r="R994" t="s">
        <v>53</v>
      </c>
      <c r="S994" t="s">
        <v>2042</v>
      </c>
      <c r="T994" t="s">
        <v>2045</v>
      </c>
    </row>
    <row r="995" spans="1:20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15"/>
        <v>78</v>
      </c>
      <c r="G995" t="s">
        <v>74</v>
      </c>
      <c r="H995">
        <v>75</v>
      </c>
      <c r="I995" s="6">
        <v>101.44</v>
      </c>
      <c r="J995" t="s">
        <v>107</v>
      </c>
      <c r="K995" t="s">
        <v>108</v>
      </c>
      <c r="L995">
        <v>1450936800</v>
      </c>
      <c r="M995">
        <v>1452405600</v>
      </c>
      <c r="N995" s="5">
        <v>42362.25</v>
      </c>
      <c r="O995" s="5">
        <v>42379.25</v>
      </c>
      <c r="P995" t="b">
        <v>0</v>
      </c>
      <c r="Q995" t="b">
        <v>1</v>
      </c>
      <c r="R995" t="s">
        <v>122</v>
      </c>
      <c r="S995" t="s">
        <v>2055</v>
      </c>
      <c r="T995" t="s">
        <v>2056</v>
      </c>
    </row>
    <row r="996" spans="1:20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15"/>
        <v>52</v>
      </c>
      <c r="G996" t="s">
        <v>14</v>
      </c>
      <c r="H996">
        <v>842</v>
      </c>
      <c r="I996" s="6"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5">
        <v>41929.208333333336</v>
      </c>
      <c r="O996" s="5">
        <v>41935.208333333336</v>
      </c>
      <c r="P996" t="b">
        <v>0</v>
      </c>
      <c r="Q996" t="b">
        <v>1</v>
      </c>
      <c r="R996" t="s">
        <v>206</v>
      </c>
      <c r="S996" t="s">
        <v>2048</v>
      </c>
      <c r="T996" t="s">
        <v>2060</v>
      </c>
    </row>
    <row r="997" spans="1:20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15"/>
        <v>157</v>
      </c>
      <c r="G997" t="s">
        <v>20</v>
      </c>
      <c r="H997">
        <v>2043</v>
      </c>
      <c r="I997" s="6"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5">
        <v>43408.208333333336</v>
      </c>
      <c r="O997" s="5">
        <v>43437.25</v>
      </c>
      <c r="P997" t="b">
        <v>0</v>
      </c>
      <c r="Q997" t="b">
        <v>1</v>
      </c>
      <c r="R997" t="s">
        <v>17</v>
      </c>
      <c r="S997" t="s">
        <v>2034</v>
      </c>
      <c r="T997" t="s">
        <v>2035</v>
      </c>
    </row>
    <row r="998" spans="1:20" ht="31.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15"/>
        <v>73</v>
      </c>
      <c r="G998" t="s">
        <v>14</v>
      </c>
      <c r="H998">
        <v>112</v>
      </c>
      <c r="I998" s="6"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5">
        <v>41276.25</v>
      </c>
      <c r="O998" s="5">
        <v>41306.25</v>
      </c>
      <c r="P998" t="b">
        <v>0</v>
      </c>
      <c r="Q998" t="b">
        <v>0</v>
      </c>
      <c r="R998" t="s">
        <v>33</v>
      </c>
      <c r="S998" t="s">
        <v>2040</v>
      </c>
      <c r="T998" t="s">
        <v>2041</v>
      </c>
    </row>
    <row r="999" spans="1:20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15"/>
        <v>61</v>
      </c>
      <c r="G999" t="s">
        <v>74</v>
      </c>
      <c r="H999">
        <v>139</v>
      </c>
      <c r="I999" s="6"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5">
        <v>41659.25</v>
      </c>
      <c r="O999" s="5">
        <v>41664.25</v>
      </c>
      <c r="P999" t="b">
        <v>0</v>
      </c>
      <c r="Q999" t="b">
        <v>0</v>
      </c>
      <c r="R999" t="s">
        <v>33</v>
      </c>
      <c r="S999" t="s">
        <v>2040</v>
      </c>
      <c r="T999" t="s">
        <v>2041</v>
      </c>
    </row>
    <row r="1000" spans="1:20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15"/>
        <v>57</v>
      </c>
      <c r="G1000" t="s">
        <v>14</v>
      </c>
      <c r="H1000">
        <v>374</v>
      </c>
      <c r="I1000" s="6"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5">
        <v>40220.25</v>
      </c>
      <c r="O1000" s="5">
        <v>40234.25</v>
      </c>
      <c r="P1000" t="b">
        <v>0</v>
      </c>
      <c r="Q1000" t="b">
        <v>1</v>
      </c>
      <c r="R1000" t="s">
        <v>60</v>
      </c>
      <c r="S1000" t="s">
        <v>2036</v>
      </c>
      <c r="T1000" t="s">
        <v>2046</v>
      </c>
    </row>
    <row r="1001" spans="1:20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15"/>
        <v>57</v>
      </c>
      <c r="G1001" t="s">
        <v>74</v>
      </c>
      <c r="H1001">
        <v>1122</v>
      </c>
      <c r="I1001" s="6"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5">
        <v>42550.208333333336</v>
      </c>
      <c r="O1001" s="5">
        <v>42557.208333333336</v>
      </c>
      <c r="P1001" t="b">
        <v>0</v>
      </c>
      <c r="Q1001" t="b">
        <v>0</v>
      </c>
      <c r="R1001" t="s">
        <v>17</v>
      </c>
      <c r="S1001" t="s">
        <v>2034</v>
      </c>
      <c r="T1001" t="s">
        <v>2035</v>
      </c>
    </row>
  </sheetData>
  <autoFilter ref="A1:T1" xr:uid="{00000000-0001-0000-0000-000000000000}"/>
  <phoneticPr fontId="18" type="noConversion"/>
  <conditionalFormatting sqref="F1:F1048576">
    <cfRule type="colorScale" priority="6">
      <colorScale>
        <cfvo type="num" val="0"/>
        <cfvo type="num" val="100"/>
        <cfvo type="num" val="200"/>
        <color rgb="FFF8696B"/>
        <color theme="9"/>
        <color theme="4"/>
      </colorScale>
    </cfRule>
  </conditionalFormatting>
  <conditionalFormatting sqref="G1:G1048576">
    <cfRule type="cellIs" dxfId="17" priority="1" operator="equal">
      <formula>"canceled"</formula>
    </cfRule>
    <cfRule type="cellIs" dxfId="16" priority="2" operator="equal">
      <formula>"live"</formula>
    </cfRule>
    <cfRule type="cellIs" dxfId="15" priority="3" operator="equal">
      <formula>"successful"</formula>
    </cfRule>
    <cfRule type="cellIs" dxfId="14" priority="4" operator="equal">
      <formula>"failed"</formula>
    </cfRule>
  </conditionalFormatting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18651-3546-4206-99BB-A8897393AA8A}">
  <sheetPr codeName="Sheet2"/>
  <dimension ref="A3:F14"/>
  <sheetViews>
    <sheetView tabSelected="1" workbookViewId="0">
      <selection activeCell="C3" sqref="C3"/>
    </sheetView>
  </sheetViews>
  <sheetFormatPr defaultRowHeight="15.75"/>
  <cols>
    <col min="1" max="1" width="18" bestFit="1" customWidth="1"/>
    <col min="2" max="2" width="16.125" bestFit="1" customWidth="1"/>
    <col min="3" max="3" width="6.25" bestFit="1" customWidth="1"/>
    <col min="4" max="4" width="4.5" bestFit="1" customWidth="1"/>
    <col min="5" max="5" width="10" bestFit="1" customWidth="1"/>
    <col min="6" max="7" width="11.75" bestFit="1" customWidth="1"/>
  </cols>
  <sheetData>
    <row r="3" spans="1:6">
      <c r="A3" s="7" t="s">
        <v>2071</v>
      </c>
      <c r="B3" s="7" t="s">
        <v>2073</v>
      </c>
    </row>
    <row r="4" spans="1:6">
      <c r="A4" s="7" t="s">
        <v>2069</v>
      </c>
      <c r="B4" t="s">
        <v>74</v>
      </c>
      <c r="C4" t="s">
        <v>14</v>
      </c>
      <c r="D4" t="s">
        <v>47</v>
      </c>
      <c r="E4" t="s">
        <v>20</v>
      </c>
      <c r="F4" t="s">
        <v>2070</v>
      </c>
    </row>
    <row r="5" spans="1:6">
      <c r="A5" s="8" t="s">
        <v>2042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>
      <c r="A6" s="8" t="s">
        <v>2034</v>
      </c>
      <c r="B6">
        <v>4</v>
      </c>
      <c r="C6">
        <v>20</v>
      </c>
      <c r="E6">
        <v>22</v>
      </c>
      <c r="F6">
        <v>46</v>
      </c>
    </row>
    <row r="7" spans="1:6">
      <c r="A7" s="8" t="s">
        <v>2051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>
      <c r="A8" s="8" t="s">
        <v>2065</v>
      </c>
      <c r="E8">
        <v>4</v>
      </c>
      <c r="F8">
        <v>4</v>
      </c>
    </row>
    <row r="9" spans="1:6">
      <c r="A9" s="8" t="s">
        <v>2036</v>
      </c>
      <c r="B9">
        <v>10</v>
      </c>
      <c r="C9">
        <v>66</v>
      </c>
      <c r="E9">
        <v>99</v>
      </c>
      <c r="F9">
        <v>175</v>
      </c>
    </row>
    <row r="10" spans="1:6">
      <c r="A10" s="8" t="s">
        <v>2055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>
      <c r="A11" s="8" t="s">
        <v>2048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>
      <c r="A12" s="8" t="s">
        <v>2038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>
      <c r="A13" s="8" t="s">
        <v>2040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>
      <c r="A14" s="8" t="s">
        <v>2070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honeticPr fontId="18" type="noConversion"/>
  <pageMargins left="0.7" right="0.7" top="0.75" bottom="0.75" header="0.3" footer="0.3"/>
  <pageSetup paperSize="9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D587D-A36D-4678-9342-A73A8D15A5CD}">
  <sheetPr codeName="Sheet3"/>
  <dimension ref="A1:F30"/>
  <sheetViews>
    <sheetView workbookViewId="0">
      <selection activeCell="H33" sqref="H33"/>
    </sheetView>
  </sheetViews>
  <sheetFormatPr defaultRowHeight="15.75"/>
  <cols>
    <col min="1" max="1" width="18.625" bestFit="1" customWidth="1"/>
    <col min="2" max="2" width="16.125" bestFit="1" customWidth="1"/>
    <col min="3" max="3" width="6.25" bestFit="1" customWidth="1"/>
    <col min="4" max="4" width="4.5" bestFit="1" customWidth="1"/>
    <col min="5" max="5" width="10" bestFit="1" customWidth="1"/>
    <col min="6" max="7" width="11.75" bestFit="1" customWidth="1"/>
  </cols>
  <sheetData>
    <row r="1" spans="1:6">
      <c r="A1" s="7" t="s">
        <v>6</v>
      </c>
      <c r="B1" t="s">
        <v>2072</v>
      </c>
    </row>
    <row r="2" spans="1:6">
      <c r="A2" s="7" t="s">
        <v>2074</v>
      </c>
      <c r="B2" t="s">
        <v>2072</v>
      </c>
    </row>
    <row r="4" spans="1:6">
      <c r="A4" s="7" t="s">
        <v>2071</v>
      </c>
      <c r="B4" s="7" t="s">
        <v>2073</v>
      </c>
    </row>
    <row r="5" spans="1:6">
      <c r="A5" s="7" t="s">
        <v>2069</v>
      </c>
      <c r="B5" t="s">
        <v>74</v>
      </c>
      <c r="C5" t="s">
        <v>14</v>
      </c>
      <c r="D5" t="s">
        <v>47</v>
      </c>
      <c r="E5" t="s">
        <v>20</v>
      </c>
      <c r="F5" t="s">
        <v>2070</v>
      </c>
    </row>
    <row r="6" spans="1:6">
      <c r="A6" s="8" t="s">
        <v>2050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>
      <c r="A7" s="8" t="s">
        <v>2066</v>
      </c>
      <c r="E7">
        <v>4</v>
      </c>
      <c r="F7">
        <v>4</v>
      </c>
    </row>
    <row r="8" spans="1:6">
      <c r="A8" s="8" t="s">
        <v>2043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>
      <c r="A9" s="8" t="s">
        <v>2045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>
      <c r="A10" s="8" t="s">
        <v>2044</v>
      </c>
      <c r="C10">
        <v>8</v>
      </c>
      <c r="E10">
        <v>10</v>
      </c>
      <c r="F10">
        <v>18</v>
      </c>
    </row>
    <row r="11" spans="1:6">
      <c r="A11" s="8" t="s">
        <v>2054</v>
      </c>
      <c r="B11">
        <v>1</v>
      </c>
      <c r="C11">
        <v>7</v>
      </c>
      <c r="E11">
        <v>9</v>
      </c>
      <c r="F11">
        <v>17</v>
      </c>
    </row>
    <row r="12" spans="1:6">
      <c r="A12" s="8" t="s">
        <v>2035</v>
      </c>
      <c r="B12">
        <v>4</v>
      </c>
      <c r="C12">
        <v>20</v>
      </c>
      <c r="E12">
        <v>22</v>
      </c>
      <c r="F12">
        <v>46</v>
      </c>
    </row>
    <row r="13" spans="1:6">
      <c r="A13" s="8" t="s">
        <v>2046</v>
      </c>
      <c r="B13">
        <v>3</v>
      </c>
      <c r="C13">
        <v>19</v>
      </c>
      <c r="E13">
        <v>23</v>
      </c>
      <c r="F13">
        <v>45</v>
      </c>
    </row>
    <row r="14" spans="1:6">
      <c r="A14" s="8" t="s">
        <v>2059</v>
      </c>
      <c r="B14">
        <v>1</v>
      </c>
      <c r="C14">
        <v>6</v>
      </c>
      <c r="E14">
        <v>10</v>
      </c>
      <c r="F14">
        <v>17</v>
      </c>
    </row>
    <row r="15" spans="1:6">
      <c r="A15" s="8" t="s">
        <v>2058</v>
      </c>
      <c r="C15">
        <v>3</v>
      </c>
      <c r="E15">
        <v>4</v>
      </c>
      <c r="F15">
        <v>7</v>
      </c>
    </row>
    <row r="16" spans="1:6">
      <c r="A16" s="8" t="s">
        <v>2062</v>
      </c>
      <c r="C16">
        <v>8</v>
      </c>
      <c r="D16">
        <v>1</v>
      </c>
      <c r="E16">
        <v>4</v>
      </c>
      <c r="F16">
        <v>13</v>
      </c>
    </row>
    <row r="17" spans="1:6">
      <c r="A17" s="8" t="s">
        <v>2049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>
      <c r="A18" s="8" t="s">
        <v>2056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>
      <c r="A19" s="8" t="s">
        <v>2041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>
      <c r="A20" s="8" t="s">
        <v>2057</v>
      </c>
      <c r="C20">
        <v>4</v>
      </c>
      <c r="E20">
        <v>4</v>
      </c>
      <c r="F20">
        <v>8</v>
      </c>
    </row>
    <row r="21" spans="1:6">
      <c r="A21" s="8" t="s">
        <v>2037</v>
      </c>
      <c r="B21">
        <v>6</v>
      </c>
      <c r="C21">
        <v>30</v>
      </c>
      <c r="E21">
        <v>49</v>
      </c>
      <c r="F21">
        <v>85</v>
      </c>
    </row>
    <row r="22" spans="1:6">
      <c r="A22" s="8" t="s">
        <v>2064</v>
      </c>
      <c r="C22">
        <v>9</v>
      </c>
      <c r="E22">
        <v>5</v>
      </c>
      <c r="F22">
        <v>14</v>
      </c>
    </row>
    <row r="23" spans="1:6">
      <c r="A23" s="8" t="s">
        <v>2053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>
      <c r="A24" s="8" t="s">
        <v>2061</v>
      </c>
      <c r="B24">
        <v>3</v>
      </c>
      <c r="C24">
        <v>3</v>
      </c>
      <c r="E24">
        <v>11</v>
      </c>
      <c r="F24">
        <v>17</v>
      </c>
    </row>
    <row r="25" spans="1:6">
      <c r="A25" s="8" t="s">
        <v>2060</v>
      </c>
      <c r="C25">
        <v>7</v>
      </c>
      <c r="E25">
        <v>14</v>
      </c>
      <c r="F25">
        <v>21</v>
      </c>
    </row>
    <row r="26" spans="1:6">
      <c r="A26" s="8" t="s">
        <v>2052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>
      <c r="A27" s="8" t="s">
        <v>2047</v>
      </c>
      <c r="C27">
        <v>16</v>
      </c>
      <c r="D27">
        <v>1</v>
      </c>
      <c r="E27">
        <v>28</v>
      </c>
      <c r="F27">
        <v>45</v>
      </c>
    </row>
    <row r="28" spans="1:6">
      <c r="A28" s="8" t="s">
        <v>2039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>
      <c r="A29" s="8" t="s">
        <v>2063</v>
      </c>
      <c r="E29">
        <v>3</v>
      </c>
      <c r="F29">
        <v>3</v>
      </c>
    </row>
    <row r="30" spans="1:6">
      <c r="A30" s="8" t="s">
        <v>2070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honeticPr fontId="18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7F34-8004-49E6-A200-73AD7EADE7E9}">
  <sheetPr codeName="Sheet6"/>
  <dimension ref="A3:F12"/>
  <sheetViews>
    <sheetView workbookViewId="0">
      <selection activeCell="T13" sqref="T13"/>
    </sheetView>
  </sheetViews>
  <sheetFormatPr defaultRowHeight="15.7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3" spans="1:6">
      <c r="A3" s="7" t="s">
        <v>2071</v>
      </c>
      <c r="B3" s="7" t="s">
        <v>2073</v>
      </c>
    </row>
    <row r="4" spans="1:6">
      <c r="A4" s="7" t="s">
        <v>2069</v>
      </c>
      <c r="B4" t="s">
        <v>74</v>
      </c>
      <c r="C4" t="s">
        <v>14</v>
      </c>
      <c r="D4" t="s">
        <v>47</v>
      </c>
      <c r="E4" t="s">
        <v>20</v>
      </c>
      <c r="F4" t="s">
        <v>2070</v>
      </c>
    </row>
    <row r="5" spans="1:6">
      <c r="A5" s="8" t="s">
        <v>26</v>
      </c>
      <c r="B5">
        <v>2</v>
      </c>
      <c r="C5">
        <v>16</v>
      </c>
      <c r="D5">
        <v>1</v>
      </c>
      <c r="E5">
        <v>24</v>
      </c>
      <c r="F5">
        <v>43</v>
      </c>
    </row>
    <row r="6" spans="1:6">
      <c r="A6" s="8" t="s">
        <v>15</v>
      </c>
      <c r="B6">
        <v>2</v>
      </c>
      <c r="C6">
        <v>19</v>
      </c>
      <c r="D6">
        <v>1</v>
      </c>
      <c r="E6">
        <v>22</v>
      </c>
      <c r="F6">
        <v>44</v>
      </c>
    </row>
    <row r="7" spans="1:6">
      <c r="A7" s="8" t="s">
        <v>98</v>
      </c>
      <c r="B7">
        <v>4</v>
      </c>
      <c r="C7">
        <v>6</v>
      </c>
      <c r="D7">
        <v>1</v>
      </c>
      <c r="E7">
        <v>12</v>
      </c>
      <c r="F7">
        <v>23</v>
      </c>
    </row>
    <row r="8" spans="1:6">
      <c r="A8" s="8" t="s">
        <v>36</v>
      </c>
      <c r="B8">
        <v>1</v>
      </c>
      <c r="C8">
        <v>12</v>
      </c>
      <c r="D8">
        <v>1</v>
      </c>
      <c r="E8">
        <v>17</v>
      </c>
      <c r="F8">
        <v>31</v>
      </c>
    </row>
    <row r="9" spans="1:6">
      <c r="A9" s="8" t="s">
        <v>40</v>
      </c>
      <c r="B9">
        <v>1</v>
      </c>
      <c r="C9">
        <v>18</v>
      </c>
      <c r="D9">
        <v>1</v>
      </c>
      <c r="E9">
        <v>28</v>
      </c>
      <c r="F9">
        <v>48</v>
      </c>
    </row>
    <row r="10" spans="1:6">
      <c r="A10" s="8" t="s">
        <v>107</v>
      </c>
      <c r="B10">
        <v>3</v>
      </c>
      <c r="C10">
        <v>19</v>
      </c>
      <c r="E10">
        <v>26</v>
      </c>
      <c r="F10">
        <v>48</v>
      </c>
    </row>
    <row r="11" spans="1:6">
      <c r="A11" s="8" t="s">
        <v>21</v>
      </c>
      <c r="B11">
        <v>44</v>
      </c>
      <c r="C11">
        <v>274</v>
      </c>
      <c r="D11">
        <v>9</v>
      </c>
      <c r="E11">
        <v>436</v>
      </c>
      <c r="F11">
        <v>763</v>
      </c>
    </row>
    <row r="12" spans="1:6">
      <c r="A12" s="8" t="s">
        <v>2070</v>
      </c>
      <c r="B12">
        <v>57</v>
      </c>
      <c r="C12">
        <v>364</v>
      </c>
      <c r="D12">
        <v>14</v>
      </c>
      <c r="E12">
        <v>565</v>
      </c>
      <c r="F12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712D-F183-49AD-8986-BEFE0F0C65F5}">
  <sheetPr codeName="Sheet4"/>
  <dimension ref="A1:E18"/>
  <sheetViews>
    <sheetView workbookViewId="0">
      <selection activeCell="A2" sqref="A2"/>
      <pivotSelection pane="bottomRight" activeRow="1" previousRow="1" click="1" r:id="rId1">
        <pivotArea field="22" type="button" dataOnly="0" labelOnly="1" outline="0" axis="axisPage" fieldPosition="1"/>
      </pivotSelection>
    </sheetView>
  </sheetViews>
  <sheetFormatPr defaultRowHeight="15.75"/>
  <cols>
    <col min="1" max="1" width="16.5" bestFit="1" customWidth="1"/>
    <col min="2" max="2" width="15.25" bestFit="1" customWidth="1"/>
    <col min="3" max="3" width="5.625" bestFit="1" customWidth="1"/>
    <col min="4" max="4" width="9.25" bestFit="1" customWidth="1"/>
    <col min="5" max="6" width="11" bestFit="1" customWidth="1"/>
  </cols>
  <sheetData>
    <row r="1" spans="1:5">
      <c r="A1" s="7" t="s">
        <v>2074</v>
      </c>
      <c r="B1" t="s">
        <v>2072</v>
      </c>
    </row>
    <row r="2" spans="1:5">
      <c r="A2" s="7" t="s">
        <v>2087</v>
      </c>
      <c r="B2" t="s">
        <v>2072</v>
      </c>
    </row>
    <row r="4" spans="1:5">
      <c r="A4" s="7" t="s">
        <v>2071</v>
      </c>
      <c r="B4" s="7" t="s">
        <v>2073</v>
      </c>
    </row>
    <row r="5" spans="1:5">
      <c r="A5" s="7" t="s">
        <v>2069</v>
      </c>
      <c r="B5" t="s">
        <v>74</v>
      </c>
      <c r="C5" t="s">
        <v>14</v>
      </c>
      <c r="D5" t="s">
        <v>20</v>
      </c>
      <c r="E5" t="s">
        <v>2070</v>
      </c>
    </row>
    <row r="6" spans="1:5">
      <c r="A6" s="8" t="s">
        <v>2075</v>
      </c>
      <c r="B6">
        <v>6</v>
      </c>
      <c r="C6">
        <v>36</v>
      </c>
      <c r="D6">
        <v>49</v>
      </c>
      <c r="E6">
        <v>91</v>
      </c>
    </row>
    <row r="7" spans="1:5">
      <c r="A7" s="8" t="s">
        <v>2076</v>
      </c>
      <c r="B7">
        <v>7</v>
      </c>
      <c r="C7">
        <v>28</v>
      </c>
      <c r="D7">
        <v>44</v>
      </c>
      <c r="E7">
        <v>79</v>
      </c>
    </row>
    <row r="8" spans="1:5">
      <c r="A8" s="8" t="s">
        <v>2077</v>
      </c>
      <c r="B8">
        <v>4</v>
      </c>
      <c r="C8">
        <v>33</v>
      </c>
      <c r="D8">
        <v>49</v>
      </c>
      <c r="E8">
        <v>86</v>
      </c>
    </row>
    <row r="9" spans="1:5">
      <c r="A9" s="8" t="s">
        <v>2078</v>
      </c>
      <c r="B9">
        <v>1</v>
      </c>
      <c r="C9">
        <v>30</v>
      </c>
      <c r="D9">
        <v>46</v>
      </c>
      <c r="E9">
        <v>77</v>
      </c>
    </row>
    <row r="10" spans="1:5">
      <c r="A10" s="8" t="s">
        <v>2079</v>
      </c>
      <c r="B10">
        <v>3</v>
      </c>
      <c r="C10">
        <v>35</v>
      </c>
      <c r="D10">
        <v>46</v>
      </c>
      <c r="E10">
        <v>84</v>
      </c>
    </row>
    <row r="11" spans="1:5">
      <c r="A11" s="8" t="s">
        <v>2080</v>
      </c>
      <c r="B11">
        <v>3</v>
      </c>
      <c r="C11">
        <v>28</v>
      </c>
      <c r="D11">
        <v>55</v>
      </c>
      <c r="E11">
        <v>86</v>
      </c>
    </row>
    <row r="12" spans="1:5">
      <c r="A12" s="8" t="s">
        <v>2081</v>
      </c>
      <c r="B12">
        <v>4</v>
      </c>
      <c r="C12">
        <v>31</v>
      </c>
      <c r="D12">
        <v>58</v>
      </c>
      <c r="E12">
        <v>93</v>
      </c>
    </row>
    <row r="13" spans="1:5">
      <c r="A13" s="8" t="s">
        <v>2082</v>
      </c>
      <c r="B13">
        <v>8</v>
      </c>
      <c r="C13">
        <v>35</v>
      </c>
      <c r="D13">
        <v>41</v>
      </c>
      <c r="E13">
        <v>84</v>
      </c>
    </row>
    <row r="14" spans="1:5">
      <c r="A14" s="8" t="s">
        <v>2083</v>
      </c>
      <c r="B14">
        <v>5</v>
      </c>
      <c r="C14">
        <v>23</v>
      </c>
      <c r="D14">
        <v>45</v>
      </c>
      <c r="E14">
        <v>73</v>
      </c>
    </row>
    <row r="15" spans="1:5">
      <c r="A15" s="8" t="s">
        <v>2084</v>
      </c>
      <c r="B15">
        <v>6</v>
      </c>
      <c r="C15">
        <v>26</v>
      </c>
      <c r="D15">
        <v>45</v>
      </c>
      <c r="E15">
        <v>77</v>
      </c>
    </row>
    <row r="16" spans="1:5">
      <c r="A16" s="8" t="s">
        <v>2085</v>
      </c>
      <c r="B16">
        <v>3</v>
      </c>
      <c r="C16">
        <v>27</v>
      </c>
      <c r="D16">
        <v>45</v>
      </c>
      <c r="E16">
        <v>75</v>
      </c>
    </row>
    <row r="17" spans="1:5">
      <c r="A17" s="8" t="s">
        <v>2086</v>
      </c>
      <c r="B17">
        <v>7</v>
      </c>
      <c r="C17">
        <v>32</v>
      </c>
      <c r="D17">
        <v>42</v>
      </c>
      <c r="E17">
        <v>81</v>
      </c>
    </row>
    <row r="18" spans="1:5">
      <c r="A18" s="8" t="s">
        <v>2070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35B92-DF59-45F8-967A-57FF4E40AF56}">
  <sheetPr codeName="Sheet5"/>
  <dimension ref="A1:H13"/>
  <sheetViews>
    <sheetView workbookViewId="0">
      <selection activeCell="K30" sqref="K30"/>
    </sheetView>
  </sheetViews>
  <sheetFormatPr defaultRowHeight="15.75"/>
  <cols>
    <col min="1" max="1" width="16.75" customWidth="1"/>
    <col min="2" max="2" width="19" customWidth="1"/>
    <col min="3" max="3" width="15.875" customWidth="1"/>
    <col min="4" max="4" width="17.375" customWidth="1"/>
    <col min="5" max="5" width="14.375" customWidth="1"/>
    <col min="6" max="6" width="20.625" customWidth="1"/>
    <col min="7" max="7" width="16.625" customWidth="1"/>
    <col min="8" max="8" width="18.75" customWidth="1"/>
  </cols>
  <sheetData>
    <row r="1" spans="1:8">
      <c r="A1" s="1" t="s">
        <v>2099</v>
      </c>
      <c r="B1" s="1" t="s">
        <v>2101</v>
      </c>
      <c r="C1" s="1" t="s">
        <v>2102</v>
      </c>
      <c r="D1" s="1" t="s">
        <v>2103</v>
      </c>
      <c r="E1" s="1" t="s">
        <v>2104</v>
      </c>
      <c r="F1" s="1" t="s">
        <v>2105</v>
      </c>
      <c r="G1" s="1" t="s">
        <v>2106</v>
      </c>
      <c r="H1" s="1" t="s">
        <v>2107</v>
      </c>
    </row>
    <row r="2" spans="1:8">
      <c r="A2" t="s">
        <v>2098</v>
      </c>
      <c r="B2">
        <f>COUNTIFS([0]!goal, "&lt;1000",[0]!outcome,"=successful")</f>
        <v>30</v>
      </c>
      <c r="C2">
        <f>COUNTIFS([0]!goal, "&lt;1000",[0]!outcome,"=failed")</f>
        <v>20</v>
      </c>
      <c r="D2">
        <f>COUNTIFS([0]!goal, "&lt;1000",[0]!outcome,"=canceled")</f>
        <v>1</v>
      </c>
      <c r="E2">
        <f>SUM(B2:D2)</f>
        <v>51</v>
      </c>
      <c r="F2" s="9">
        <f>B2/E2</f>
        <v>0.58823529411764708</v>
      </c>
      <c r="G2" s="9">
        <f>C2/E2</f>
        <v>0.39215686274509803</v>
      </c>
      <c r="H2" s="9">
        <f>D2/E2</f>
        <v>1.9607843137254902E-2</v>
      </c>
    </row>
    <row r="3" spans="1:8">
      <c r="A3" t="s">
        <v>2097</v>
      </c>
      <c r="B3">
        <f>COUNTIFS([0]!goal, "&gt;=1000",[0]!goal, "&lt;4999",[0]!outcome,"=successful")</f>
        <v>191</v>
      </c>
      <c r="C3">
        <f>COUNTIFS([0]!goal, "&gt;=1000",[0]!goal, "&lt;4999",[0]!outcome,"=failed")</f>
        <v>38</v>
      </c>
      <c r="D3">
        <f>COUNTIFS([0]!goal, "&gt;=1000",[0]!goal, "&lt;4999",[0]!outcome,"=canceled")</f>
        <v>2</v>
      </c>
      <c r="E3">
        <f t="shared" ref="E3:E13" si="0">SUM(B3:D3)</f>
        <v>231</v>
      </c>
      <c r="F3" s="9">
        <f t="shared" ref="F3:F13" si="1">B3/E3</f>
        <v>0.82683982683982682</v>
      </c>
      <c r="G3" s="9">
        <f t="shared" ref="G3:G13" si="2">C3/E3</f>
        <v>0.16450216450216451</v>
      </c>
      <c r="H3" s="9">
        <f t="shared" ref="H3:H13" si="3">D3/E3</f>
        <v>8.658008658008658E-3</v>
      </c>
    </row>
    <row r="4" spans="1:8">
      <c r="A4" t="s">
        <v>2088</v>
      </c>
      <c r="B4">
        <f>COUNTIFS([0]!goal, "&gt;=5000",[0]!goal, "&lt;9999",[0]!outcome,"=successful")</f>
        <v>164</v>
      </c>
      <c r="C4">
        <f>COUNTIFS([0]!goal, "&gt;=5000",[0]!goal, "&lt;9999",[0]!outcome,"=failed")</f>
        <v>126</v>
      </c>
      <c r="D4">
        <f>COUNTIFS([0]!goal, "&gt;=5000",[0]!goal, "&lt;9999",[0]!outcome,"=canceled")</f>
        <v>25</v>
      </c>
      <c r="E4">
        <f t="shared" si="0"/>
        <v>315</v>
      </c>
      <c r="F4" s="9">
        <f t="shared" si="1"/>
        <v>0.52063492063492067</v>
      </c>
      <c r="G4" s="9">
        <f t="shared" si="2"/>
        <v>0.4</v>
      </c>
      <c r="H4" s="9">
        <f t="shared" si="3"/>
        <v>7.9365079365079361E-2</v>
      </c>
    </row>
    <row r="5" spans="1:8">
      <c r="A5" t="s">
        <v>2089</v>
      </c>
      <c r="B5">
        <f>COUNTIFS([0]!goal, "&gt;=10000",[0]!goal, "&lt;14999",[0]!outcome,"=successful")</f>
        <v>4</v>
      </c>
      <c r="C5">
        <f>COUNTIFS([0]!goal, "&gt;=10000",[0]!goal, "&lt;14999",[0]!outcome,"=failed")</f>
        <v>5</v>
      </c>
      <c r="D5">
        <f>COUNTIFS([0]!goal, "&gt;=10000",[0]!goal, "&lt;14999",[0]!outcome,"=canceled")</f>
        <v>0</v>
      </c>
      <c r="E5">
        <f t="shared" si="0"/>
        <v>9</v>
      </c>
      <c r="F5" s="9">
        <f t="shared" si="1"/>
        <v>0.44444444444444442</v>
      </c>
      <c r="G5" s="9">
        <f t="shared" si="2"/>
        <v>0.55555555555555558</v>
      </c>
      <c r="H5" s="9">
        <f t="shared" si="3"/>
        <v>0</v>
      </c>
    </row>
    <row r="6" spans="1:8">
      <c r="A6" t="s">
        <v>2090</v>
      </c>
      <c r="B6">
        <f>COUNTIFS([0]!goal, "&gt;=15000",[0]!goal, "&lt;19999",[0]!outcome,"=successful")</f>
        <v>10</v>
      </c>
      <c r="C6">
        <f>COUNTIFS([0]!goal, "&gt;=15000",[0]!goal, "&lt;19999",[0]!outcome,"=failed")</f>
        <v>0</v>
      </c>
      <c r="D6">
        <f>COUNTIFS([0]!goal, "&gt;=15000",[0]!goal, "&lt;19999",[0]!outcome,"=canceled")</f>
        <v>0</v>
      </c>
      <c r="E6">
        <f t="shared" si="0"/>
        <v>10</v>
      </c>
      <c r="F6" s="9">
        <f t="shared" si="1"/>
        <v>1</v>
      </c>
      <c r="G6" s="9">
        <f t="shared" si="2"/>
        <v>0</v>
      </c>
      <c r="H6" s="9">
        <f t="shared" si="3"/>
        <v>0</v>
      </c>
    </row>
    <row r="7" spans="1:8">
      <c r="A7" t="s">
        <v>2091</v>
      </c>
      <c r="B7">
        <f>COUNTIFS([0]!goal, "&gt;=20000",[0]!goal, "&lt;24999",[0]!outcome,"=successful")</f>
        <v>7</v>
      </c>
      <c r="C7">
        <f>COUNTIFS([0]!goal, "&gt;=20000",[0]!goal, "&lt;24999",[0]!outcome,"=failed")</f>
        <v>0</v>
      </c>
      <c r="D7">
        <f>COUNTIFS([0]!goal, "&gt;=20000",[0]!goal, "&lt;24999",[0]!outcome,"=canceled")</f>
        <v>0</v>
      </c>
      <c r="E7">
        <f t="shared" si="0"/>
        <v>7</v>
      </c>
      <c r="F7" s="9">
        <f t="shared" si="1"/>
        <v>1</v>
      </c>
      <c r="G7" s="9">
        <f t="shared" si="2"/>
        <v>0</v>
      </c>
      <c r="H7" s="9">
        <f t="shared" si="3"/>
        <v>0</v>
      </c>
    </row>
    <row r="8" spans="1:8">
      <c r="A8" t="s">
        <v>2092</v>
      </c>
      <c r="B8">
        <f>COUNTIFS([0]!goal, "&gt;=25000",[0]!goal, "&lt;29999",[0]!outcome,"=successful")</f>
        <v>11</v>
      </c>
      <c r="C8">
        <f>COUNTIFS([0]!goal, "&gt;=25000",[0]!goal, "&lt;29999",[0]!outcome,"=failed")</f>
        <v>3</v>
      </c>
      <c r="D8">
        <f>COUNTIFS([0]!goal, "&gt;=25000",[0]!goal, "&lt;29999",[0]!outcome,"=canceled")</f>
        <v>0</v>
      </c>
      <c r="E8">
        <f t="shared" si="0"/>
        <v>14</v>
      </c>
      <c r="F8" s="9">
        <f t="shared" si="1"/>
        <v>0.7857142857142857</v>
      </c>
      <c r="G8" s="9">
        <f t="shared" si="2"/>
        <v>0.21428571428571427</v>
      </c>
      <c r="H8" s="9">
        <f t="shared" si="3"/>
        <v>0</v>
      </c>
    </row>
    <row r="9" spans="1:8">
      <c r="A9" t="s">
        <v>2093</v>
      </c>
      <c r="B9">
        <f>COUNTIFS([0]!goal, "&gt;=30000",[0]!goal, "&lt;34999",[0]!outcome,"=successful")</f>
        <v>7</v>
      </c>
      <c r="C9">
        <f>COUNTIFS([0]!goal, "&gt;=30000",[0]!goal, "&lt;34999",[0]!outcome,"=failed")</f>
        <v>0</v>
      </c>
      <c r="D9">
        <f>COUNTIFS([0]!goal, "&gt;=30000",[0]!goal, "&lt;34999",[0]!outcome,"=canceled")</f>
        <v>0</v>
      </c>
      <c r="E9">
        <f t="shared" si="0"/>
        <v>7</v>
      </c>
      <c r="F9" s="9">
        <f t="shared" si="1"/>
        <v>1</v>
      </c>
      <c r="G9" s="9">
        <f t="shared" si="2"/>
        <v>0</v>
      </c>
      <c r="H9" s="9">
        <f t="shared" si="3"/>
        <v>0</v>
      </c>
    </row>
    <row r="10" spans="1:8">
      <c r="A10" t="s">
        <v>2094</v>
      </c>
      <c r="B10">
        <f>COUNTIFS([0]!goal, "&gt;=35000",[0]!goal, "&lt;39999",[0]!outcome,"=successful")</f>
        <v>8</v>
      </c>
      <c r="C10">
        <f>COUNTIFS([0]!goal, "&gt;=35000",[0]!goal, "&lt;39999",[0]!outcome,"=failed")</f>
        <v>3</v>
      </c>
      <c r="D10">
        <f>COUNTIFS([0]!goal, "&gt;=35000",[0]!goal, "&lt;39999",[0]!outcome,"=canceled")</f>
        <v>1</v>
      </c>
      <c r="E10">
        <f t="shared" si="0"/>
        <v>12</v>
      </c>
      <c r="F10" s="9">
        <f t="shared" si="1"/>
        <v>0.66666666666666663</v>
      </c>
      <c r="G10" s="9">
        <f t="shared" si="2"/>
        <v>0.25</v>
      </c>
      <c r="H10" s="9">
        <f t="shared" si="3"/>
        <v>8.3333333333333329E-2</v>
      </c>
    </row>
    <row r="11" spans="1:8">
      <c r="A11" t="s">
        <v>2095</v>
      </c>
      <c r="B11">
        <f>COUNTIFS([0]!goal, "&gt;=40000",[0]!goal, "&lt;44999",[0]!outcome,"=successful")</f>
        <v>11</v>
      </c>
      <c r="C11">
        <f>COUNTIFS([0]!goal, "&gt;=40000",[0]!goal, "&lt;44999",[0]!outcome,"=failed")</f>
        <v>3</v>
      </c>
      <c r="D11">
        <f>COUNTIFS([0]!goal, "&gt;=40000",[0]!goal, "&lt;44999",[0]!outcome,"=canceled")</f>
        <v>0</v>
      </c>
      <c r="E11">
        <f t="shared" si="0"/>
        <v>14</v>
      </c>
      <c r="F11" s="9">
        <f t="shared" si="1"/>
        <v>0.7857142857142857</v>
      </c>
      <c r="G11" s="9">
        <f t="shared" si="2"/>
        <v>0.21428571428571427</v>
      </c>
      <c r="H11" s="9">
        <f t="shared" si="3"/>
        <v>0</v>
      </c>
    </row>
    <row r="12" spans="1:8">
      <c r="A12" t="s">
        <v>2096</v>
      </c>
      <c r="B12">
        <f>COUNTIFS([0]!goal, "&gt;=45000",[0]!goal, "&lt;49999",[0]!outcome,"=successful")</f>
        <v>8</v>
      </c>
      <c r="C12">
        <f>COUNTIFS([0]!goal, "&gt;=45000",[0]!goal, "&lt;49999",[0]!outcome,"=failed")</f>
        <v>3</v>
      </c>
      <c r="D12">
        <f>COUNTIFS([0]!goal, "&gt;=45000",[0]!goal, "&lt;49999",[0]!outcome,"=canceled")</f>
        <v>0</v>
      </c>
      <c r="E12">
        <f t="shared" si="0"/>
        <v>11</v>
      </c>
      <c r="F12" s="9">
        <f t="shared" si="1"/>
        <v>0.72727272727272729</v>
      </c>
      <c r="G12" s="9">
        <f t="shared" si="2"/>
        <v>0.27272727272727271</v>
      </c>
      <c r="H12" s="9">
        <f t="shared" si="3"/>
        <v>0</v>
      </c>
    </row>
    <row r="13" spans="1:8">
      <c r="A13" t="s">
        <v>2100</v>
      </c>
      <c r="B13">
        <f>COUNTIFS([0]!goal, "&gt;50000",[0]!outcome,"=successful")</f>
        <v>114</v>
      </c>
      <c r="C13">
        <f>COUNTIFS([0]!goal, "&gt;50000",[0]!outcome,"=failed")</f>
        <v>163</v>
      </c>
      <c r="D13">
        <f>COUNTIFS([0]!goal, "&gt;50000",[0]!outcome,"=canceled")</f>
        <v>28</v>
      </c>
      <c r="E13">
        <f t="shared" si="0"/>
        <v>305</v>
      </c>
      <c r="F13" s="9">
        <f t="shared" si="1"/>
        <v>0.3737704918032787</v>
      </c>
      <c r="G13" s="9">
        <f t="shared" si="2"/>
        <v>0.53442622950819674</v>
      </c>
      <c r="H13" s="9">
        <f t="shared" si="3"/>
        <v>9.1803278688524587E-2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02926-80DD-4530-AC17-190908A82621}">
  <sheetPr codeName="Sheet8"/>
  <dimension ref="A1:J566"/>
  <sheetViews>
    <sheetView workbookViewId="0">
      <selection activeCell="A2" sqref="A2"/>
    </sheetView>
  </sheetViews>
  <sheetFormatPr defaultRowHeight="15.75"/>
  <cols>
    <col min="2" max="2" width="14.75" customWidth="1"/>
    <col min="5" max="5" width="13" customWidth="1"/>
    <col min="8" max="8" width="16.75" customWidth="1"/>
    <col min="9" max="9" width="15.125" customWidth="1"/>
    <col min="10" max="10" width="18.875" customWidth="1"/>
  </cols>
  <sheetData>
    <row r="1" spans="1:10">
      <c r="A1" s="1" t="s">
        <v>4</v>
      </c>
      <c r="B1" s="1" t="s">
        <v>5</v>
      </c>
      <c r="D1" s="1" t="s">
        <v>4</v>
      </c>
      <c r="E1" s="1" t="s">
        <v>5</v>
      </c>
    </row>
    <row r="2" spans="1:10">
      <c r="A2" t="s">
        <v>20</v>
      </c>
      <c r="B2">
        <v>158</v>
      </c>
      <c r="D2" t="s">
        <v>14</v>
      </c>
      <c r="E2">
        <v>0</v>
      </c>
    </row>
    <row r="3" spans="1:10">
      <c r="A3" t="s">
        <v>20</v>
      </c>
      <c r="B3">
        <v>1425</v>
      </c>
      <c r="D3" t="s">
        <v>14</v>
      </c>
      <c r="E3">
        <v>24</v>
      </c>
      <c r="H3" t="s">
        <v>2116</v>
      </c>
      <c r="I3" t="s">
        <v>2113</v>
      </c>
      <c r="J3" t="s">
        <v>2114</v>
      </c>
    </row>
    <row r="4" spans="1:10">
      <c r="A4" t="s">
        <v>20</v>
      </c>
      <c r="B4">
        <v>174</v>
      </c>
      <c r="D4" t="s">
        <v>14</v>
      </c>
      <c r="E4">
        <v>53</v>
      </c>
      <c r="H4" t="s">
        <v>2108</v>
      </c>
      <c r="I4" s="10">
        <f>AVERAGE(backers_success)</f>
        <v>851.14690265486729</v>
      </c>
      <c r="J4" s="10">
        <f>AVERAGE(backers_fail)</f>
        <v>585.61538461538464</v>
      </c>
    </row>
    <row r="5" spans="1:10">
      <c r="A5" t="s">
        <v>20</v>
      </c>
      <c r="B5">
        <v>227</v>
      </c>
      <c r="D5" t="s">
        <v>14</v>
      </c>
      <c r="E5">
        <v>18</v>
      </c>
      <c r="H5" t="s">
        <v>2115</v>
      </c>
      <c r="I5" s="10">
        <f>MEDIAN(backers_success)</f>
        <v>201</v>
      </c>
      <c r="J5" s="10">
        <f>MEDIAN(backers_fail)</f>
        <v>114.5</v>
      </c>
    </row>
    <row r="6" spans="1:10">
      <c r="A6" t="s">
        <v>20</v>
      </c>
      <c r="B6">
        <v>220</v>
      </c>
      <c r="D6" t="s">
        <v>14</v>
      </c>
      <c r="E6">
        <v>44</v>
      </c>
      <c r="H6" t="s">
        <v>2109</v>
      </c>
      <c r="I6" s="10">
        <f>MIN(backers_success)</f>
        <v>16</v>
      </c>
      <c r="J6" s="10">
        <f>MIN(backers_fail)</f>
        <v>0</v>
      </c>
    </row>
    <row r="7" spans="1:10">
      <c r="A7" t="s">
        <v>20</v>
      </c>
      <c r="B7">
        <v>98</v>
      </c>
      <c r="D7" t="s">
        <v>14</v>
      </c>
      <c r="E7">
        <v>27</v>
      </c>
      <c r="H7" t="s">
        <v>2110</v>
      </c>
      <c r="I7" s="10">
        <f>MAX(backers_success)</f>
        <v>7295</v>
      </c>
      <c r="J7" s="10">
        <f>MAX(backers_fail)</f>
        <v>6080</v>
      </c>
    </row>
    <row r="8" spans="1:10">
      <c r="A8" t="s">
        <v>20</v>
      </c>
      <c r="B8">
        <v>100</v>
      </c>
      <c r="D8" t="s">
        <v>14</v>
      </c>
      <c r="E8">
        <v>55</v>
      </c>
      <c r="H8" t="s">
        <v>2111</v>
      </c>
      <c r="I8" s="10">
        <f>_xlfn.VAR.P(backers_success)</f>
        <v>1603373.7324019109</v>
      </c>
      <c r="J8" s="10">
        <f>_xlfn.VAR.P(backers_fail)</f>
        <v>921574.68174133555</v>
      </c>
    </row>
    <row r="9" spans="1:10">
      <c r="A9" t="s">
        <v>20</v>
      </c>
      <c r="B9">
        <v>1249</v>
      </c>
      <c r="D9" t="s">
        <v>14</v>
      </c>
      <c r="E9">
        <v>200</v>
      </c>
      <c r="H9" t="s">
        <v>2112</v>
      </c>
      <c r="I9" s="10">
        <f>_xlfn.STDEV.P(backers_success)</f>
        <v>1266.2439466397898</v>
      </c>
      <c r="J9" s="10">
        <f>_xlfn.STDEV.P(backers_fail)</f>
        <v>959.98681331637863</v>
      </c>
    </row>
    <row r="10" spans="1:10">
      <c r="A10" t="s">
        <v>20</v>
      </c>
      <c r="B10">
        <v>1396</v>
      </c>
      <c r="D10" t="s">
        <v>14</v>
      </c>
      <c r="E10">
        <v>452</v>
      </c>
    </row>
    <row r="11" spans="1:10">
      <c r="A11" t="s">
        <v>20</v>
      </c>
      <c r="B11">
        <v>890</v>
      </c>
      <c r="D11" t="s">
        <v>14</v>
      </c>
      <c r="E11">
        <v>674</v>
      </c>
    </row>
    <row r="12" spans="1:10">
      <c r="A12" t="s">
        <v>20</v>
      </c>
      <c r="B12">
        <v>142</v>
      </c>
      <c r="D12" t="s">
        <v>14</v>
      </c>
      <c r="E12">
        <v>558</v>
      </c>
    </row>
    <row r="13" spans="1:10">
      <c r="A13" t="s">
        <v>20</v>
      </c>
      <c r="B13">
        <v>2673</v>
      </c>
      <c r="D13" t="s">
        <v>14</v>
      </c>
      <c r="E13">
        <v>15</v>
      </c>
    </row>
    <row r="14" spans="1:10">
      <c r="A14" t="s">
        <v>20</v>
      </c>
      <c r="B14">
        <v>163</v>
      </c>
      <c r="D14" t="s">
        <v>14</v>
      </c>
      <c r="E14">
        <v>2307</v>
      </c>
    </row>
    <row r="15" spans="1:10">
      <c r="A15" t="s">
        <v>20</v>
      </c>
      <c r="B15">
        <v>2220</v>
      </c>
      <c r="D15" t="s">
        <v>14</v>
      </c>
      <c r="E15">
        <v>88</v>
      </c>
    </row>
    <row r="16" spans="1:10">
      <c r="A16" t="s">
        <v>20</v>
      </c>
      <c r="B16">
        <v>1606</v>
      </c>
      <c r="D16" t="s">
        <v>14</v>
      </c>
      <c r="E16">
        <v>48</v>
      </c>
    </row>
    <row r="17" spans="1:5">
      <c r="A17" t="s">
        <v>20</v>
      </c>
      <c r="B17">
        <v>129</v>
      </c>
      <c r="D17" t="s">
        <v>14</v>
      </c>
      <c r="E17">
        <v>1</v>
      </c>
    </row>
    <row r="18" spans="1:5">
      <c r="A18" t="s">
        <v>20</v>
      </c>
      <c r="B18">
        <v>226</v>
      </c>
      <c r="D18" t="s">
        <v>14</v>
      </c>
      <c r="E18">
        <v>1467</v>
      </c>
    </row>
    <row r="19" spans="1:5">
      <c r="A19" t="s">
        <v>20</v>
      </c>
      <c r="B19">
        <v>5419</v>
      </c>
      <c r="D19" t="s">
        <v>14</v>
      </c>
      <c r="E19">
        <v>75</v>
      </c>
    </row>
    <row r="20" spans="1:5">
      <c r="A20" t="s">
        <v>20</v>
      </c>
      <c r="B20">
        <v>165</v>
      </c>
      <c r="D20" t="s">
        <v>14</v>
      </c>
      <c r="E20">
        <v>120</v>
      </c>
    </row>
    <row r="21" spans="1:5">
      <c r="A21" t="s">
        <v>20</v>
      </c>
      <c r="B21">
        <v>1965</v>
      </c>
      <c r="D21" t="s">
        <v>14</v>
      </c>
      <c r="E21">
        <v>2253</v>
      </c>
    </row>
    <row r="22" spans="1:5">
      <c r="A22" t="s">
        <v>20</v>
      </c>
      <c r="B22">
        <v>16</v>
      </c>
      <c r="D22" t="s">
        <v>14</v>
      </c>
      <c r="E22">
        <v>5</v>
      </c>
    </row>
    <row r="23" spans="1:5">
      <c r="A23" t="s">
        <v>20</v>
      </c>
      <c r="B23">
        <v>107</v>
      </c>
      <c r="D23" t="s">
        <v>14</v>
      </c>
      <c r="E23">
        <v>38</v>
      </c>
    </row>
    <row r="24" spans="1:5">
      <c r="A24" t="s">
        <v>20</v>
      </c>
      <c r="B24">
        <v>134</v>
      </c>
      <c r="D24" t="s">
        <v>14</v>
      </c>
      <c r="E24">
        <v>12</v>
      </c>
    </row>
    <row r="25" spans="1:5">
      <c r="A25" t="s">
        <v>20</v>
      </c>
      <c r="B25">
        <v>198</v>
      </c>
      <c r="D25" t="s">
        <v>14</v>
      </c>
      <c r="E25">
        <v>1684</v>
      </c>
    </row>
    <row r="26" spans="1:5">
      <c r="A26" t="s">
        <v>20</v>
      </c>
      <c r="B26">
        <v>111</v>
      </c>
      <c r="D26" t="s">
        <v>14</v>
      </c>
      <c r="E26">
        <v>56</v>
      </c>
    </row>
    <row r="27" spans="1:5">
      <c r="A27" t="s">
        <v>20</v>
      </c>
      <c r="B27">
        <v>222</v>
      </c>
      <c r="D27" t="s">
        <v>14</v>
      </c>
      <c r="E27">
        <v>838</v>
      </c>
    </row>
    <row r="28" spans="1:5">
      <c r="A28" t="s">
        <v>20</v>
      </c>
      <c r="B28">
        <v>6212</v>
      </c>
      <c r="D28" t="s">
        <v>14</v>
      </c>
      <c r="E28">
        <v>1000</v>
      </c>
    </row>
    <row r="29" spans="1:5">
      <c r="A29" t="s">
        <v>20</v>
      </c>
      <c r="B29">
        <v>98</v>
      </c>
      <c r="D29" t="s">
        <v>14</v>
      </c>
      <c r="E29">
        <v>1482</v>
      </c>
    </row>
    <row r="30" spans="1:5">
      <c r="A30" t="s">
        <v>20</v>
      </c>
      <c r="B30">
        <v>92</v>
      </c>
      <c r="D30" t="s">
        <v>14</v>
      </c>
      <c r="E30">
        <v>106</v>
      </c>
    </row>
    <row r="31" spans="1:5">
      <c r="A31" t="s">
        <v>20</v>
      </c>
      <c r="B31">
        <v>149</v>
      </c>
      <c r="D31" t="s">
        <v>14</v>
      </c>
      <c r="E31">
        <v>679</v>
      </c>
    </row>
    <row r="32" spans="1:5">
      <c r="A32" t="s">
        <v>20</v>
      </c>
      <c r="B32">
        <v>2431</v>
      </c>
      <c r="D32" t="s">
        <v>14</v>
      </c>
      <c r="E32">
        <v>1220</v>
      </c>
    </row>
    <row r="33" spans="1:5">
      <c r="A33" t="s">
        <v>20</v>
      </c>
      <c r="B33">
        <v>303</v>
      </c>
      <c r="D33" t="s">
        <v>14</v>
      </c>
      <c r="E33">
        <v>1</v>
      </c>
    </row>
    <row r="34" spans="1:5">
      <c r="A34" t="s">
        <v>20</v>
      </c>
      <c r="B34">
        <v>209</v>
      </c>
      <c r="D34" t="s">
        <v>14</v>
      </c>
      <c r="E34">
        <v>37</v>
      </c>
    </row>
    <row r="35" spans="1:5">
      <c r="A35" t="s">
        <v>20</v>
      </c>
      <c r="B35">
        <v>131</v>
      </c>
      <c r="D35" t="s">
        <v>14</v>
      </c>
      <c r="E35">
        <v>60</v>
      </c>
    </row>
    <row r="36" spans="1:5">
      <c r="A36" t="s">
        <v>20</v>
      </c>
      <c r="B36">
        <v>164</v>
      </c>
      <c r="D36" t="s">
        <v>14</v>
      </c>
      <c r="E36">
        <v>296</v>
      </c>
    </row>
    <row r="37" spans="1:5">
      <c r="A37" t="s">
        <v>20</v>
      </c>
      <c r="B37">
        <v>201</v>
      </c>
      <c r="D37" t="s">
        <v>14</v>
      </c>
      <c r="E37">
        <v>3304</v>
      </c>
    </row>
    <row r="38" spans="1:5">
      <c r="A38" t="s">
        <v>20</v>
      </c>
      <c r="B38">
        <v>211</v>
      </c>
      <c r="D38" t="s">
        <v>14</v>
      </c>
      <c r="E38">
        <v>73</v>
      </c>
    </row>
    <row r="39" spans="1:5">
      <c r="A39" t="s">
        <v>20</v>
      </c>
      <c r="B39">
        <v>128</v>
      </c>
      <c r="D39" t="s">
        <v>14</v>
      </c>
      <c r="E39">
        <v>3387</v>
      </c>
    </row>
    <row r="40" spans="1:5">
      <c r="A40" t="s">
        <v>20</v>
      </c>
      <c r="B40">
        <v>1600</v>
      </c>
      <c r="D40" t="s">
        <v>14</v>
      </c>
      <c r="E40">
        <v>662</v>
      </c>
    </row>
    <row r="41" spans="1:5">
      <c r="A41" t="s">
        <v>20</v>
      </c>
      <c r="B41">
        <v>249</v>
      </c>
      <c r="D41" t="s">
        <v>14</v>
      </c>
      <c r="E41">
        <v>774</v>
      </c>
    </row>
    <row r="42" spans="1:5">
      <c r="A42" t="s">
        <v>20</v>
      </c>
      <c r="B42">
        <v>236</v>
      </c>
      <c r="D42" t="s">
        <v>14</v>
      </c>
      <c r="E42">
        <v>672</v>
      </c>
    </row>
    <row r="43" spans="1:5">
      <c r="A43" t="s">
        <v>20</v>
      </c>
      <c r="B43">
        <v>4065</v>
      </c>
      <c r="D43" t="s">
        <v>14</v>
      </c>
      <c r="E43">
        <v>940</v>
      </c>
    </row>
    <row r="44" spans="1:5">
      <c r="A44" t="s">
        <v>20</v>
      </c>
      <c r="B44">
        <v>246</v>
      </c>
      <c r="D44" t="s">
        <v>14</v>
      </c>
      <c r="E44">
        <v>117</v>
      </c>
    </row>
    <row r="45" spans="1:5">
      <c r="A45" t="s">
        <v>20</v>
      </c>
      <c r="B45">
        <v>2475</v>
      </c>
      <c r="D45" t="s">
        <v>14</v>
      </c>
      <c r="E45">
        <v>115</v>
      </c>
    </row>
    <row r="46" spans="1:5">
      <c r="A46" t="s">
        <v>20</v>
      </c>
      <c r="B46">
        <v>76</v>
      </c>
      <c r="D46" t="s">
        <v>14</v>
      </c>
      <c r="E46">
        <v>326</v>
      </c>
    </row>
    <row r="47" spans="1:5">
      <c r="A47" t="s">
        <v>20</v>
      </c>
      <c r="B47">
        <v>54</v>
      </c>
      <c r="D47" t="s">
        <v>14</v>
      </c>
      <c r="E47">
        <v>1</v>
      </c>
    </row>
    <row r="48" spans="1:5">
      <c r="A48" t="s">
        <v>20</v>
      </c>
      <c r="B48">
        <v>88</v>
      </c>
      <c r="D48" t="s">
        <v>14</v>
      </c>
      <c r="E48">
        <v>1467</v>
      </c>
    </row>
    <row r="49" spans="1:5">
      <c r="A49" t="s">
        <v>20</v>
      </c>
      <c r="B49">
        <v>85</v>
      </c>
      <c r="D49" t="s">
        <v>14</v>
      </c>
      <c r="E49">
        <v>5681</v>
      </c>
    </row>
    <row r="50" spans="1:5">
      <c r="A50" t="s">
        <v>20</v>
      </c>
      <c r="B50">
        <v>170</v>
      </c>
      <c r="D50" t="s">
        <v>14</v>
      </c>
      <c r="E50">
        <v>1059</v>
      </c>
    </row>
    <row r="51" spans="1:5">
      <c r="A51" t="s">
        <v>20</v>
      </c>
      <c r="B51">
        <v>330</v>
      </c>
      <c r="D51" t="s">
        <v>14</v>
      </c>
      <c r="E51">
        <v>1194</v>
      </c>
    </row>
    <row r="52" spans="1:5">
      <c r="A52" t="s">
        <v>20</v>
      </c>
      <c r="B52">
        <v>127</v>
      </c>
      <c r="D52" t="s">
        <v>14</v>
      </c>
      <c r="E52">
        <v>30</v>
      </c>
    </row>
    <row r="53" spans="1:5">
      <c r="A53" t="s">
        <v>20</v>
      </c>
      <c r="B53">
        <v>411</v>
      </c>
      <c r="D53" t="s">
        <v>14</v>
      </c>
      <c r="E53">
        <v>75</v>
      </c>
    </row>
    <row r="54" spans="1:5">
      <c r="A54" t="s">
        <v>20</v>
      </c>
      <c r="B54">
        <v>180</v>
      </c>
      <c r="D54" t="s">
        <v>14</v>
      </c>
      <c r="E54">
        <v>955</v>
      </c>
    </row>
    <row r="55" spans="1:5">
      <c r="A55" t="s">
        <v>20</v>
      </c>
      <c r="B55">
        <v>374</v>
      </c>
      <c r="D55" t="s">
        <v>14</v>
      </c>
      <c r="E55">
        <v>67</v>
      </c>
    </row>
    <row r="56" spans="1:5">
      <c r="A56" t="s">
        <v>20</v>
      </c>
      <c r="B56">
        <v>71</v>
      </c>
      <c r="D56" t="s">
        <v>14</v>
      </c>
      <c r="E56">
        <v>5</v>
      </c>
    </row>
    <row r="57" spans="1:5">
      <c r="A57" t="s">
        <v>20</v>
      </c>
      <c r="B57">
        <v>203</v>
      </c>
      <c r="D57" t="s">
        <v>14</v>
      </c>
      <c r="E57">
        <v>26</v>
      </c>
    </row>
    <row r="58" spans="1:5">
      <c r="A58" t="s">
        <v>20</v>
      </c>
      <c r="B58">
        <v>113</v>
      </c>
      <c r="D58" t="s">
        <v>14</v>
      </c>
      <c r="E58">
        <v>1130</v>
      </c>
    </row>
    <row r="59" spans="1:5">
      <c r="A59" t="s">
        <v>20</v>
      </c>
      <c r="B59">
        <v>96</v>
      </c>
      <c r="D59" t="s">
        <v>14</v>
      </c>
      <c r="E59">
        <v>782</v>
      </c>
    </row>
    <row r="60" spans="1:5">
      <c r="A60" t="s">
        <v>20</v>
      </c>
      <c r="B60">
        <v>498</v>
      </c>
      <c r="D60" t="s">
        <v>14</v>
      </c>
      <c r="E60">
        <v>210</v>
      </c>
    </row>
    <row r="61" spans="1:5">
      <c r="A61" t="s">
        <v>20</v>
      </c>
      <c r="B61">
        <v>180</v>
      </c>
      <c r="D61" t="s">
        <v>14</v>
      </c>
      <c r="E61">
        <v>136</v>
      </c>
    </row>
    <row r="62" spans="1:5">
      <c r="A62" t="s">
        <v>20</v>
      </c>
      <c r="B62">
        <v>27</v>
      </c>
      <c r="D62" t="s">
        <v>14</v>
      </c>
      <c r="E62">
        <v>86</v>
      </c>
    </row>
    <row r="63" spans="1:5">
      <c r="A63" t="s">
        <v>20</v>
      </c>
      <c r="B63">
        <v>2331</v>
      </c>
      <c r="D63" t="s">
        <v>14</v>
      </c>
      <c r="E63">
        <v>19</v>
      </c>
    </row>
    <row r="64" spans="1:5">
      <c r="A64" t="s">
        <v>20</v>
      </c>
      <c r="B64">
        <v>113</v>
      </c>
      <c r="D64" t="s">
        <v>14</v>
      </c>
      <c r="E64">
        <v>886</v>
      </c>
    </row>
    <row r="65" spans="1:5">
      <c r="A65" t="s">
        <v>20</v>
      </c>
      <c r="B65">
        <v>164</v>
      </c>
      <c r="D65" t="s">
        <v>14</v>
      </c>
      <c r="E65">
        <v>35</v>
      </c>
    </row>
    <row r="66" spans="1:5">
      <c r="A66" t="s">
        <v>20</v>
      </c>
      <c r="B66">
        <v>164</v>
      </c>
      <c r="D66" t="s">
        <v>14</v>
      </c>
      <c r="E66">
        <v>24</v>
      </c>
    </row>
    <row r="67" spans="1:5">
      <c r="A67" t="s">
        <v>20</v>
      </c>
      <c r="B67">
        <v>336</v>
      </c>
      <c r="D67" t="s">
        <v>14</v>
      </c>
      <c r="E67">
        <v>86</v>
      </c>
    </row>
    <row r="68" spans="1:5">
      <c r="A68" t="s">
        <v>20</v>
      </c>
      <c r="B68">
        <v>1917</v>
      </c>
      <c r="D68" t="s">
        <v>14</v>
      </c>
      <c r="E68">
        <v>243</v>
      </c>
    </row>
    <row r="69" spans="1:5">
      <c r="A69" t="s">
        <v>20</v>
      </c>
      <c r="B69">
        <v>95</v>
      </c>
      <c r="D69" t="s">
        <v>14</v>
      </c>
      <c r="E69">
        <v>65</v>
      </c>
    </row>
    <row r="70" spans="1:5">
      <c r="A70" t="s">
        <v>20</v>
      </c>
      <c r="B70">
        <v>147</v>
      </c>
      <c r="D70" t="s">
        <v>14</v>
      </c>
      <c r="E70">
        <v>100</v>
      </c>
    </row>
    <row r="71" spans="1:5">
      <c r="A71" t="s">
        <v>20</v>
      </c>
      <c r="B71">
        <v>86</v>
      </c>
      <c r="D71" t="s">
        <v>14</v>
      </c>
      <c r="E71">
        <v>168</v>
      </c>
    </row>
    <row r="72" spans="1:5">
      <c r="A72" t="s">
        <v>20</v>
      </c>
      <c r="B72">
        <v>83</v>
      </c>
      <c r="D72" t="s">
        <v>14</v>
      </c>
      <c r="E72">
        <v>13</v>
      </c>
    </row>
    <row r="73" spans="1:5">
      <c r="A73" t="s">
        <v>20</v>
      </c>
      <c r="B73">
        <v>676</v>
      </c>
      <c r="D73" t="s">
        <v>14</v>
      </c>
      <c r="E73">
        <v>1</v>
      </c>
    </row>
    <row r="74" spans="1:5">
      <c r="A74" t="s">
        <v>20</v>
      </c>
      <c r="B74">
        <v>361</v>
      </c>
      <c r="D74" t="s">
        <v>14</v>
      </c>
      <c r="E74">
        <v>40</v>
      </c>
    </row>
    <row r="75" spans="1:5">
      <c r="A75" t="s">
        <v>20</v>
      </c>
      <c r="B75">
        <v>131</v>
      </c>
      <c r="D75" t="s">
        <v>14</v>
      </c>
      <c r="E75">
        <v>226</v>
      </c>
    </row>
    <row r="76" spans="1:5">
      <c r="A76" t="s">
        <v>20</v>
      </c>
      <c r="B76">
        <v>126</v>
      </c>
      <c r="D76" t="s">
        <v>14</v>
      </c>
      <c r="E76">
        <v>1625</v>
      </c>
    </row>
    <row r="77" spans="1:5">
      <c r="A77" t="s">
        <v>20</v>
      </c>
      <c r="B77">
        <v>275</v>
      </c>
      <c r="D77" t="s">
        <v>14</v>
      </c>
      <c r="E77">
        <v>143</v>
      </c>
    </row>
    <row r="78" spans="1:5">
      <c r="A78" t="s">
        <v>20</v>
      </c>
      <c r="B78">
        <v>67</v>
      </c>
      <c r="D78" t="s">
        <v>14</v>
      </c>
      <c r="E78">
        <v>934</v>
      </c>
    </row>
    <row r="79" spans="1:5">
      <c r="A79" t="s">
        <v>20</v>
      </c>
      <c r="B79">
        <v>154</v>
      </c>
      <c r="D79" t="s">
        <v>14</v>
      </c>
      <c r="E79">
        <v>17</v>
      </c>
    </row>
    <row r="80" spans="1:5">
      <c r="A80" t="s">
        <v>20</v>
      </c>
      <c r="B80">
        <v>1782</v>
      </c>
      <c r="D80" t="s">
        <v>14</v>
      </c>
      <c r="E80">
        <v>2179</v>
      </c>
    </row>
    <row r="81" spans="1:5">
      <c r="A81" t="s">
        <v>20</v>
      </c>
      <c r="B81">
        <v>903</v>
      </c>
      <c r="D81" t="s">
        <v>14</v>
      </c>
      <c r="E81">
        <v>931</v>
      </c>
    </row>
    <row r="82" spans="1:5">
      <c r="A82" t="s">
        <v>20</v>
      </c>
      <c r="B82">
        <v>94</v>
      </c>
      <c r="D82" t="s">
        <v>14</v>
      </c>
      <c r="E82">
        <v>92</v>
      </c>
    </row>
    <row r="83" spans="1:5">
      <c r="A83" t="s">
        <v>20</v>
      </c>
      <c r="B83">
        <v>180</v>
      </c>
      <c r="D83" t="s">
        <v>14</v>
      </c>
      <c r="E83">
        <v>57</v>
      </c>
    </row>
    <row r="84" spans="1:5">
      <c r="A84" t="s">
        <v>20</v>
      </c>
      <c r="B84">
        <v>533</v>
      </c>
      <c r="D84" t="s">
        <v>14</v>
      </c>
      <c r="E84">
        <v>41</v>
      </c>
    </row>
    <row r="85" spans="1:5">
      <c r="A85" t="s">
        <v>20</v>
      </c>
      <c r="B85">
        <v>2443</v>
      </c>
      <c r="D85" t="s">
        <v>14</v>
      </c>
      <c r="E85">
        <v>1</v>
      </c>
    </row>
    <row r="86" spans="1:5">
      <c r="A86" t="s">
        <v>20</v>
      </c>
      <c r="B86">
        <v>89</v>
      </c>
      <c r="D86" t="s">
        <v>14</v>
      </c>
      <c r="E86">
        <v>101</v>
      </c>
    </row>
    <row r="87" spans="1:5">
      <c r="A87" t="s">
        <v>20</v>
      </c>
      <c r="B87">
        <v>159</v>
      </c>
      <c r="D87" t="s">
        <v>14</v>
      </c>
      <c r="E87">
        <v>1335</v>
      </c>
    </row>
    <row r="88" spans="1:5">
      <c r="A88" t="s">
        <v>20</v>
      </c>
      <c r="B88">
        <v>50</v>
      </c>
      <c r="D88" t="s">
        <v>14</v>
      </c>
      <c r="E88">
        <v>15</v>
      </c>
    </row>
    <row r="89" spans="1:5">
      <c r="A89" t="s">
        <v>20</v>
      </c>
      <c r="B89">
        <v>186</v>
      </c>
      <c r="D89" t="s">
        <v>14</v>
      </c>
      <c r="E89">
        <v>454</v>
      </c>
    </row>
    <row r="90" spans="1:5">
      <c r="A90" t="s">
        <v>20</v>
      </c>
      <c r="B90">
        <v>1071</v>
      </c>
      <c r="D90" t="s">
        <v>14</v>
      </c>
      <c r="E90">
        <v>3182</v>
      </c>
    </row>
    <row r="91" spans="1:5">
      <c r="A91" t="s">
        <v>20</v>
      </c>
      <c r="B91">
        <v>117</v>
      </c>
      <c r="D91" t="s">
        <v>14</v>
      </c>
      <c r="E91">
        <v>15</v>
      </c>
    </row>
    <row r="92" spans="1:5">
      <c r="A92" t="s">
        <v>20</v>
      </c>
      <c r="B92">
        <v>70</v>
      </c>
      <c r="D92" t="s">
        <v>14</v>
      </c>
      <c r="E92">
        <v>133</v>
      </c>
    </row>
    <row r="93" spans="1:5">
      <c r="A93" t="s">
        <v>20</v>
      </c>
      <c r="B93">
        <v>135</v>
      </c>
      <c r="D93" t="s">
        <v>14</v>
      </c>
      <c r="E93">
        <v>2062</v>
      </c>
    </row>
    <row r="94" spans="1:5">
      <c r="A94" t="s">
        <v>20</v>
      </c>
      <c r="B94">
        <v>768</v>
      </c>
      <c r="D94" t="s">
        <v>14</v>
      </c>
      <c r="E94">
        <v>29</v>
      </c>
    </row>
    <row r="95" spans="1:5">
      <c r="A95" t="s">
        <v>20</v>
      </c>
      <c r="B95">
        <v>199</v>
      </c>
      <c r="D95" t="s">
        <v>14</v>
      </c>
      <c r="E95">
        <v>132</v>
      </c>
    </row>
    <row r="96" spans="1:5">
      <c r="A96" t="s">
        <v>20</v>
      </c>
      <c r="B96">
        <v>107</v>
      </c>
      <c r="D96" t="s">
        <v>14</v>
      </c>
      <c r="E96">
        <v>137</v>
      </c>
    </row>
    <row r="97" spans="1:5">
      <c r="A97" t="s">
        <v>20</v>
      </c>
      <c r="B97">
        <v>195</v>
      </c>
      <c r="D97" t="s">
        <v>14</v>
      </c>
      <c r="E97">
        <v>908</v>
      </c>
    </row>
    <row r="98" spans="1:5">
      <c r="A98" t="s">
        <v>20</v>
      </c>
      <c r="B98">
        <v>3376</v>
      </c>
      <c r="D98" t="s">
        <v>14</v>
      </c>
      <c r="E98">
        <v>10</v>
      </c>
    </row>
    <row r="99" spans="1:5">
      <c r="A99" t="s">
        <v>20</v>
      </c>
      <c r="B99">
        <v>41</v>
      </c>
      <c r="D99" t="s">
        <v>14</v>
      </c>
      <c r="E99">
        <v>1910</v>
      </c>
    </row>
    <row r="100" spans="1:5">
      <c r="A100" t="s">
        <v>20</v>
      </c>
      <c r="B100">
        <v>1821</v>
      </c>
      <c r="D100" t="s">
        <v>14</v>
      </c>
      <c r="E100">
        <v>38</v>
      </c>
    </row>
    <row r="101" spans="1:5">
      <c r="A101" t="s">
        <v>20</v>
      </c>
      <c r="B101">
        <v>164</v>
      </c>
      <c r="D101" t="s">
        <v>14</v>
      </c>
      <c r="E101">
        <v>104</v>
      </c>
    </row>
    <row r="102" spans="1:5">
      <c r="A102" t="s">
        <v>20</v>
      </c>
      <c r="B102">
        <v>157</v>
      </c>
      <c r="D102" t="s">
        <v>14</v>
      </c>
      <c r="E102">
        <v>49</v>
      </c>
    </row>
    <row r="103" spans="1:5">
      <c r="A103" t="s">
        <v>20</v>
      </c>
      <c r="B103">
        <v>246</v>
      </c>
      <c r="D103" t="s">
        <v>14</v>
      </c>
      <c r="E103">
        <v>1</v>
      </c>
    </row>
    <row r="104" spans="1:5">
      <c r="A104" t="s">
        <v>20</v>
      </c>
      <c r="B104">
        <v>1396</v>
      </c>
      <c r="D104" t="s">
        <v>14</v>
      </c>
      <c r="E104">
        <v>245</v>
      </c>
    </row>
    <row r="105" spans="1:5">
      <c r="A105" t="s">
        <v>20</v>
      </c>
      <c r="B105">
        <v>2506</v>
      </c>
      <c r="D105" t="s">
        <v>14</v>
      </c>
      <c r="E105">
        <v>32</v>
      </c>
    </row>
    <row r="106" spans="1:5">
      <c r="A106" t="s">
        <v>20</v>
      </c>
      <c r="B106">
        <v>244</v>
      </c>
      <c r="D106" t="s">
        <v>14</v>
      </c>
      <c r="E106">
        <v>7</v>
      </c>
    </row>
    <row r="107" spans="1:5">
      <c r="A107" t="s">
        <v>20</v>
      </c>
      <c r="B107">
        <v>146</v>
      </c>
      <c r="D107" t="s">
        <v>14</v>
      </c>
      <c r="E107">
        <v>803</v>
      </c>
    </row>
    <row r="108" spans="1:5">
      <c r="A108" t="s">
        <v>20</v>
      </c>
      <c r="B108">
        <v>1267</v>
      </c>
      <c r="D108" t="s">
        <v>14</v>
      </c>
      <c r="E108">
        <v>16</v>
      </c>
    </row>
    <row r="109" spans="1:5">
      <c r="A109" t="s">
        <v>20</v>
      </c>
      <c r="B109">
        <v>1561</v>
      </c>
      <c r="D109" t="s">
        <v>14</v>
      </c>
      <c r="E109">
        <v>31</v>
      </c>
    </row>
    <row r="110" spans="1:5">
      <c r="A110" t="s">
        <v>20</v>
      </c>
      <c r="B110">
        <v>48</v>
      </c>
      <c r="D110" t="s">
        <v>14</v>
      </c>
      <c r="E110">
        <v>108</v>
      </c>
    </row>
    <row r="111" spans="1:5">
      <c r="A111" t="s">
        <v>20</v>
      </c>
      <c r="B111">
        <v>2739</v>
      </c>
      <c r="D111" t="s">
        <v>14</v>
      </c>
      <c r="E111">
        <v>30</v>
      </c>
    </row>
    <row r="112" spans="1:5">
      <c r="A112" t="s">
        <v>20</v>
      </c>
      <c r="B112">
        <v>3537</v>
      </c>
      <c r="D112" t="s">
        <v>14</v>
      </c>
      <c r="E112">
        <v>17</v>
      </c>
    </row>
    <row r="113" spans="1:5">
      <c r="A113" t="s">
        <v>20</v>
      </c>
      <c r="B113">
        <v>2107</v>
      </c>
      <c r="D113" t="s">
        <v>14</v>
      </c>
      <c r="E113">
        <v>80</v>
      </c>
    </row>
    <row r="114" spans="1:5">
      <c r="A114" t="s">
        <v>20</v>
      </c>
      <c r="B114">
        <v>3318</v>
      </c>
      <c r="D114" t="s">
        <v>14</v>
      </c>
      <c r="E114">
        <v>2468</v>
      </c>
    </row>
    <row r="115" spans="1:5">
      <c r="A115" t="s">
        <v>20</v>
      </c>
      <c r="B115">
        <v>340</v>
      </c>
      <c r="D115" t="s">
        <v>14</v>
      </c>
      <c r="E115">
        <v>26</v>
      </c>
    </row>
    <row r="116" spans="1:5">
      <c r="A116" t="s">
        <v>20</v>
      </c>
      <c r="B116">
        <v>1442</v>
      </c>
      <c r="D116" t="s">
        <v>14</v>
      </c>
      <c r="E116">
        <v>73</v>
      </c>
    </row>
    <row r="117" spans="1:5">
      <c r="A117" t="s">
        <v>20</v>
      </c>
      <c r="B117">
        <v>126</v>
      </c>
      <c r="D117" t="s">
        <v>14</v>
      </c>
      <c r="E117">
        <v>128</v>
      </c>
    </row>
    <row r="118" spans="1:5">
      <c r="A118" t="s">
        <v>20</v>
      </c>
      <c r="B118">
        <v>524</v>
      </c>
      <c r="D118" t="s">
        <v>14</v>
      </c>
      <c r="E118">
        <v>33</v>
      </c>
    </row>
    <row r="119" spans="1:5">
      <c r="A119" t="s">
        <v>20</v>
      </c>
      <c r="B119">
        <v>1989</v>
      </c>
      <c r="D119" t="s">
        <v>14</v>
      </c>
      <c r="E119">
        <v>1072</v>
      </c>
    </row>
    <row r="120" spans="1:5">
      <c r="A120" t="s">
        <v>20</v>
      </c>
      <c r="B120">
        <v>157</v>
      </c>
      <c r="D120" t="s">
        <v>14</v>
      </c>
      <c r="E120">
        <v>393</v>
      </c>
    </row>
    <row r="121" spans="1:5">
      <c r="A121" t="s">
        <v>20</v>
      </c>
      <c r="B121">
        <v>4498</v>
      </c>
      <c r="D121" t="s">
        <v>14</v>
      </c>
      <c r="E121">
        <v>1257</v>
      </c>
    </row>
    <row r="122" spans="1:5">
      <c r="A122" t="s">
        <v>20</v>
      </c>
      <c r="B122">
        <v>80</v>
      </c>
      <c r="D122" t="s">
        <v>14</v>
      </c>
      <c r="E122">
        <v>328</v>
      </c>
    </row>
    <row r="123" spans="1:5">
      <c r="A123" t="s">
        <v>20</v>
      </c>
      <c r="B123">
        <v>43</v>
      </c>
      <c r="D123" t="s">
        <v>14</v>
      </c>
      <c r="E123">
        <v>147</v>
      </c>
    </row>
    <row r="124" spans="1:5">
      <c r="A124" t="s">
        <v>20</v>
      </c>
      <c r="B124">
        <v>2053</v>
      </c>
      <c r="D124" t="s">
        <v>14</v>
      </c>
      <c r="E124">
        <v>830</v>
      </c>
    </row>
    <row r="125" spans="1:5">
      <c r="A125" t="s">
        <v>20</v>
      </c>
      <c r="B125">
        <v>168</v>
      </c>
      <c r="D125" t="s">
        <v>14</v>
      </c>
      <c r="E125">
        <v>331</v>
      </c>
    </row>
    <row r="126" spans="1:5">
      <c r="A126" t="s">
        <v>20</v>
      </c>
      <c r="B126">
        <v>4289</v>
      </c>
      <c r="D126" t="s">
        <v>14</v>
      </c>
      <c r="E126">
        <v>25</v>
      </c>
    </row>
    <row r="127" spans="1:5">
      <c r="A127" t="s">
        <v>20</v>
      </c>
      <c r="B127">
        <v>165</v>
      </c>
      <c r="D127" t="s">
        <v>14</v>
      </c>
      <c r="E127">
        <v>3483</v>
      </c>
    </row>
    <row r="128" spans="1:5">
      <c r="A128" t="s">
        <v>20</v>
      </c>
      <c r="B128">
        <v>1815</v>
      </c>
      <c r="D128" t="s">
        <v>14</v>
      </c>
      <c r="E128">
        <v>923</v>
      </c>
    </row>
    <row r="129" spans="1:5">
      <c r="A129" t="s">
        <v>20</v>
      </c>
      <c r="B129">
        <v>397</v>
      </c>
      <c r="D129" t="s">
        <v>14</v>
      </c>
      <c r="E129">
        <v>1</v>
      </c>
    </row>
    <row r="130" spans="1:5">
      <c r="A130" t="s">
        <v>20</v>
      </c>
      <c r="B130">
        <v>1539</v>
      </c>
      <c r="D130" t="s">
        <v>14</v>
      </c>
      <c r="E130">
        <v>33</v>
      </c>
    </row>
    <row r="131" spans="1:5">
      <c r="A131" t="s">
        <v>20</v>
      </c>
      <c r="B131">
        <v>138</v>
      </c>
      <c r="D131" t="s">
        <v>14</v>
      </c>
      <c r="E131">
        <v>40</v>
      </c>
    </row>
    <row r="132" spans="1:5">
      <c r="A132" t="s">
        <v>20</v>
      </c>
      <c r="B132">
        <v>3594</v>
      </c>
      <c r="D132" t="s">
        <v>14</v>
      </c>
      <c r="E132">
        <v>23</v>
      </c>
    </row>
    <row r="133" spans="1:5">
      <c r="A133" t="s">
        <v>20</v>
      </c>
      <c r="B133">
        <v>5880</v>
      </c>
      <c r="D133" t="s">
        <v>14</v>
      </c>
      <c r="E133">
        <v>75</v>
      </c>
    </row>
    <row r="134" spans="1:5">
      <c r="A134" t="s">
        <v>20</v>
      </c>
      <c r="B134">
        <v>112</v>
      </c>
      <c r="D134" t="s">
        <v>14</v>
      </c>
      <c r="E134">
        <v>2176</v>
      </c>
    </row>
    <row r="135" spans="1:5">
      <c r="A135" t="s">
        <v>20</v>
      </c>
      <c r="B135">
        <v>943</v>
      </c>
      <c r="D135" t="s">
        <v>14</v>
      </c>
      <c r="E135">
        <v>441</v>
      </c>
    </row>
    <row r="136" spans="1:5">
      <c r="A136" t="s">
        <v>20</v>
      </c>
      <c r="B136">
        <v>2468</v>
      </c>
      <c r="D136" t="s">
        <v>14</v>
      </c>
      <c r="E136">
        <v>25</v>
      </c>
    </row>
    <row r="137" spans="1:5">
      <c r="A137" t="s">
        <v>20</v>
      </c>
      <c r="B137">
        <v>2551</v>
      </c>
      <c r="D137" t="s">
        <v>14</v>
      </c>
      <c r="E137">
        <v>127</v>
      </c>
    </row>
    <row r="138" spans="1:5">
      <c r="A138" t="s">
        <v>20</v>
      </c>
      <c r="B138">
        <v>101</v>
      </c>
      <c r="D138" t="s">
        <v>14</v>
      </c>
      <c r="E138">
        <v>355</v>
      </c>
    </row>
    <row r="139" spans="1:5">
      <c r="A139" t="s">
        <v>20</v>
      </c>
      <c r="B139">
        <v>92</v>
      </c>
      <c r="D139" t="s">
        <v>14</v>
      </c>
      <c r="E139">
        <v>44</v>
      </c>
    </row>
    <row r="140" spans="1:5">
      <c r="A140" t="s">
        <v>20</v>
      </c>
      <c r="B140">
        <v>62</v>
      </c>
      <c r="D140" t="s">
        <v>14</v>
      </c>
      <c r="E140">
        <v>67</v>
      </c>
    </row>
    <row r="141" spans="1:5">
      <c r="A141" t="s">
        <v>20</v>
      </c>
      <c r="B141">
        <v>149</v>
      </c>
      <c r="D141" t="s">
        <v>14</v>
      </c>
      <c r="E141">
        <v>1068</v>
      </c>
    </row>
    <row r="142" spans="1:5">
      <c r="A142" t="s">
        <v>20</v>
      </c>
      <c r="B142">
        <v>329</v>
      </c>
      <c r="D142" t="s">
        <v>14</v>
      </c>
      <c r="E142">
        <v>424</v>
      </c>
    </row>
    <row r="143" spans="1:5">
      <c r="A143" t="s">
        <v>20</v>
      </c>
      <c r="B143">
        <v>97</v>
      </c>
      <c r="D143" t="s">
        <v>14</v>
      </c>
      <c r="E143">
        <v>151</v>
      </c>
    </row>
    <row r="144" spans="1:5">
      <c r="A144" t="s">
        <v>20</v>
      </c>
      <c r="B144">
        <v>1784</v>
      </c>
      <c r="D144" t="s">
        <v>14</v>
      </c>
      <c r="E144">
        <v>1608</v>
      </c>
    </row>
    <row r="145" spans="1:5">
      <c r="A145" t="s">
        <v>20</v>
      </c>
      <c r="B145">
        <v>1684</v>
      </c>
      <c r="D145" t="s">
        <v>14</v>
      </c>
      <c r="E145">
        <v>941</v>
      </c>
    </row>
    <row r="146" spans="1:5">
      <c r="A146" t="s">
        <v>20</v>
      </c>
      <c r="B146">
        <v>250</v>
      </c>
      <c r="D146" t="s">
        <v>14</v>
      </c>
      <c r="E146">
        <v>1</v>
      </c>
    </row>
    <row r="147" spans="1:5">
      <c r="A147" t="s">
        <v>20</v>
      </c>
      <c r="B147">
        <v>238</v>
      </c>
      <c r="D147" t="s">
        <v>14</v>
      </c>
      <c r="E147">
        <v>40</v>
      </c>
    </row>
    <row r="148" spans="1:5">
      <c r="A148" t="s">
        <v>20</v>
      </c>
      <c r="B148">
        <v>53</v>
      </c>
      <c r="D148" t="s">
        <v>14</v>
      </c>
      <c r="E148">
        <v>3015</v>
      </c>
    </row>
    <row r="149" spans="1:5">
      <c r="A149" t="s">
        <v>20</v>
      </c>
      <c r="B149">
        <v>214</v>
      </c>
      <c r="D149" t="s">
        <v>14</v>
      </c>
      <c r="E149">
        <v>435</v>
      </c>
    </row>
    <row r="150" spans="1:5">
      <c r="A150" t="s">
        <v>20</v>
      </c>
      <c r="B150">
        <v>222</v>
      </c>
      <c r="D150" t="s">
        <v>14</v>
      </c>
      <c r="E150">
        <v>714</v>
      </c>
    </row>
    <row r="151" spans="1:5">
      <c r="A151" t="s">
        <v>20</v>
      </c>
      <c r="B151">
        <v>1884</v>
      </c>
      <c r="D151" t="s">
        <v>14</v>
      </c>
      <c r="E151">
        <v>5497</v>
      </c>
    </row>
    <row r="152" spans="1:5">
      <c r="A152" t="s">
        <v>20</v>
      </c>
      <c r="B152">
        <v>218</v>
      </c>
      <c r="D152" t="s">
        <v>14</v>
      </c>
      <c r="E152">
        <v>418</v>
      </c>
    </row>
    <row r="153" spans="1:5">
      <c r="A153" t="s">
        <v>20</v>
      </c>
      <c r="B153">
        <v>6465</v>
      </c>
      <c r="D153" t="s">
        <v>14</v>
      </c>
      <c r="E153">
        <v>1439</v>
      </c>
    </row>
    <row r="154" spans="1:5">
      <c r="A154" t="s">
        <v>20</v>
      </c>
      <c r="B154">
        <v>59</v>
      </c>
      <c r="D154" t="s">
        <v>14</v>
      </c>
      <c r="E154">
        <v>15</v>
      </c>
    </row>
    <row r="155" spans="1:5">
      <c r="A155" t="s">
        <v>20</v>
      </c>
      <c r="B155">
        <v>88</v>
      </c>
      <c r="D155" t="s">
        <v>14</v>
      </c>
      <c r="E155">
        <v>1999</v>
      </c>
    </row>
    <row r="156" spans="1:5">
      <c r="A156" t="s">
        <v>20</v>
      </c>
      <c r="B156">
        <v>1697</v>
      </c>
      <c r="D156" t="s">
        <v>14</v>
      </c>
      <c r="E156">
        <v>118</v>
      </c>
    </row>
    <row r="157" spans="1:5">
      <c r="A157" t="s">
        <v>20</v>
      </c>
      <c r="B157">
        <v>92</v>
      </c>
      <c r="D157" t="s">
        <v>14</v>
      </c>
      <c r="E157">
        <v>162</v>
      </c>
    </row>
    <row r="158" spans="1:5">
      <c r="A158" t="s">
        <v>20</v>
      </c>
      <c r="B158">
        <v>186</v>
      </c>
      <c r="D158" t="s">
        <v>14</v>
      </c>
      <c r="E158">
        <v>83</v>
      </c>
    </row>
    <row r="159" spans="1:5">
      <c r="A159" t="s">
        <v>20</v>
      </c>
      <c r="B159">
        <v>138</v>
      </c>
      <c r="D159" t="s">
        <v>14</v>
      </c>
      <c r="E159">
        <v>747</v>
      </c>
    </row>
    <row r="160" spans="1:5">
      <c r="A160" t="s">
        <v>20</v>
      </c>
      <c r="B160">
        <v>261</v>
      </c>
      <c r="D160" t="s">
        <v>14</v>
      </c>
      <c r="E160">
        <v>84</v>
      </c>
    </row>
    <row r="161" spans="1:5">
      <c r="A161" t="s">
        <v>20</v>
      </c>
      <c r="B161">
        <v>107</v>
      </c>
      <c r="D161" t="s">
        <v>14</v>
      </c>
      <c r="E161">
        <v>91</v>
      </c>
    </row>
    <row r="162" spans="1:5">
      <c r="A162" t="s">
        <v>20</v>
      </c>
      <c r="B162">
        <v>199</v>
      </c>
      <c r="D162" t="s">
        <v>14</v>
      </c>
      <c r="E162">
        <v>792</v>
      </c>
    </row>
    <row r="163" spans="1:5">
      <c r="A163" t="s">
        <v>20</v>
      </c>
      <c r="B163">
        <v>5512</v>
      </c>
      <c r="D163" t="s">
        <v>14</v>
      </c>
      <c r="E163">
        <v>32</v>
      </c>
    </row>
    <row r="164" spans="1:5">
      <c r="A164" t="s">
        <v>20</v>
      </c>
      <c r="B164">
        <v>86</v>
      </c>
      <c r="D164" t="s">
        <v>14</v>
      </c>
      <c r="E164">
        <v>186</v>
      </c>
    </row>
    <row r="165" spans="1:5">
      <c r="A165" t="s">
        <v>20</v>
      </c>
      <c r="B165">
        <v>2768</v>
      </c>
      <c r="D165" t="s">
        <v>14</v>
      </c>
      <c r="E165">
        <v>605</v>
      </c>
    </row>
    <row r="166" spans="1:5">
      <c r="A166" t="s">
        <v>20</v>
      </c>
      <c r="B166">
        <v>48</v>
      </c>
      <c r="D166" t="s">
        <v>14</v>
      </c>
      <c r="E166">
        <v>1</v>
      </c>
    </row>
    <row r="167" spans="1:5">
      <c r="A167" t="s">
        <v>20</v>
      </c>
      <c r="B167">
        <v>87</v>
      </c>
      <c r="D167" t="s">
        <v>14</v>
      </c>
      <c r="E167">
        <v>31</v>
      </c>
    </row>
    <row r="168" spans="1:5">
      <c r="A168" t="s">
        <v>20</v>
      </c>
      <c r="B168">
        <v>1894</v>
      </c>
      <c r="D168" t="s">
        <v>14</v>
      </c>
      <c r="E168">
        <v>1181</v>
      </c>
    </row>
    <row r="169" spans="1:5">
      <c r="A169" t="s">
        <v>20</v>
      </c>
      <c r="B169">
        <v>282</v>
      </c>
      <c r="D169" t="s">
        <v>14</v>
      </c>
      <c r="E169">
        <v>39</v>
      </c>
    </row>
    <row r="170" spans="1:5">
      <c r="A170" t="s">
        <v>20</v>
      </c>
      <c r="B170">
        <v>116</v>
      </c>
      <c r="D170" t="s">
        <v>14</v>
      </c>
      <c r="E170">
        <v>46</v>
      </c>
    </row>
    <row r="171" spans="1:5">
      <c r="A171" t="s">
        <v>20</v>
      </c>
      <c r="B171">
        <v>83</v>
      </c>
      <c r="D171" t="s">
        <v>14</v>
      </c>
      <c r="E171">
        <v>105</v>
      </c>
    </row>
    <row r="172" spans="1:5">
      <c r="A172" t="s">
        <v>20</v>
      </c>
      <c r="B172">
        <v>91</v>
      </c>
      <c r="D172" t="s">
        <v>14</v>
      </c>
      <c r="E172">
        <v>535</v>
      </c>
    </row>
    <row r="173" spans="1:5">
      <c r="A173" t="s">
        <v>20</v>
      </c>
      <c r="B173">
        <v>546</v>
      </c>
      <c r="D173" t="s">
        <v>14</v>
      </c>
      <c r="E173">
        <v>16</v>
      </c>
    </row>
    <row r="174" spans="1:5">
      <c r="A174" t="s">
        <v>20</v>
      </c>
      <c r="B174">
        <v>393</v>
      </c>
      <c r="D174" t="s">
        <v>14</v>
      </c>
      <c r="E174">
        <v>575</v>
      </c>
    </row>
    <row r="175" spans="1:5">
      <c r="A175" t="s">
        <v>20</v>
      </c>
      <c r="B175">
        <v>133</v>
      </c>
      <c r="D175" t="s">
        <v>14</v>
      </c>
      <c r="E175">
        <v>1120</v>
      </c>
    </row>
    <row r="176" spans="1:5">
      <c r="A176" t="s">
        <v>20</v>
      </c>
      <c r="B176">
        <v>254</v>
      </c>
      <c r="D176" t="s">
        <v>14</v>
      </c>
      <c r="E176">
        <v>113</v>
      </c>
    </row>
    <row r="177" spans="1:5">
      <c r="A177" t="s">
        <v>20</v>
      </c>
      <c r="B177">
        <v>176</v>
      </c>
      <c r="D177" t="s">
        <v>14</v>
      </c>
      <c r="E177">
        <v>1538</v>
      </c>
    </row>
    <row r="178" spans="1:5">
      <c r="A178" t="s">
        <v>20</v>
      </c>
      <c r="B178">
        <v>337</v>
      </c>
      <c r="D178" t="s">
        <v>14</v>
      </c>
      <c r="E178">
        <v>9</v>
      </c>
    </row>
    <row r="179" spans="1:5">
      <c r="A179" t="s">
        <v>20</v>
      </c>
      <c r="B179">
        <v>107</v>
      </c>
      <c r="D179" t="s">
        <v>14</v>
      </c>
      <c r="E179">
        <v>554</v>
      </c>
    </row>
    <row r="180" spans="1:5">
      <c r="A180" t="s">
        <v>20</v>
      </c>
      <c r="B180">
        <v>183</v>
      </c>
      <c r="D180" t="s">
        <v>14</v>
      </c>
      <c r="E180">
        <v>648</v>
      </c>
    </row>
    <row r="181" spans="1:5">
      <c r="A181" t="s">
        <v>20</v>
      </c>
      <c r="B181">
        <v>72</v>
      </c>
      <c r="D181" t="s">
        <v>14</v>
      </c>
      <c r="E181">
        <v>21</v>
      </c>
    </row>
    <row r="182" spans="1:5">
      <c r="A182" t="s">
        <v>20</v>
      </c>
      <c r="B182">
        <v>295</v>
      </c>
      <c r="D182" t="s">
        <v>14</v>
      </c>
      <c r="E182">
        <v>54</v>
      </c>
    </row>
    <row r="183" spans="1:5">
      <c r="A183" t="s">
        <v>20</v>
      </c>
      <c r="B183">
        <v>142</v>
      </c>
      <c r="D183" t="s">
        <v>14</v>
      </c>
      <c r="E183">
        <v>120</v>
      </c>
    </row>
    <row r="184" spans="1:5">
      <c r="A184" t="s">
        <v>20</v>
      </c>
      <c r="B184">
        <v>85</v>
      </c>
      <c r="D184" t="s">
        <v>14</v>
      </c>
      <c r="E184">
        <v>579</v>
      </c>
    </row>
    <row r="185" spans="1:5">
      <c r="A185" t="s">
        <v>20</v>
      </c>
      <c r="B185">
        <v>659</v>
      </c>
      <c r="D185" t="s">
        <v>14</v>
      </c>
      <c r="E185">
        <v>2072</v>
      </c>
    </row>
    <row r="186" spans="1:5">
      <c r="A186" t="s">
        <v>20</v>
      </c>
      <c r="B186">
        <v>121</v>
      </c>
      <c r="D186" t="s">
        <v>14</v>
      </c>
      <c r="E186">
        <v>0</v>
      </c>
    </row>
    <row r="187" spans="1:5">
      <c r="A187" t="s">
        <v>20</v>
      </c>
      <c r="B187">
        <v>3742</v>
      </c>
      <c r="D187" t="s">
        <v>14</v>
      </c>
      <c r="E187">
        <v>1796</v>
      </c>
    </row>
    <row r="188" spans="1:5">
      <c r="A188" t="s">
        <v>20</v>
      </c>
      <c r="B188">
        <v>223</v>
      </c>
      <c r="D188" t="s">
        <v>14</v>
      </c>
      <c r="E188">
        <v>62</v>
      </c>
    </row>
    <row r="189" spans="1:5">
      <c r="A189" t="s">
        <v>20</v>
      </c>
      <c r="B189">
        <v>133</v>
      </c>
      <c r="D189" t="s">
        <v>14</v>
      </c>
      <c r="E189">
        <v>347</v>
      </c>
    </row>
    <row r="190" spans="1:5">
      <c r="A190" t="s">
        <v>20</v>
      </c>
      <c r="B190">
        <v>5168</v>
      </c>
      <c r="D190" t="s">
        <v>14</v>
      </c>
      <c r="E190">
        <v>19</v>
      </c>
    </row>
    <row r="191" spans="1:5">
      <c r="A191" t="s">
        <v>20</v>
      </c>
      <c r="B191">
        <v>307</v>
      </c>
      <c r="D191" t="s">
        <v>14</v>
      </c>
      <c r="E191">
        <v>1258</v>
      </c>
    </row>
    <row r="192" spans="1:5">
      <c r="A192" t="s">
        <v>20</v>
      </c>
      <c r="B192">
        <v>2441</v>
      </c>
      <c r="D192" t="s">
        <v>14</v>
      </c>
      <c r="E192">
        <v>362</v>
      </c>
    </row>
    <row r="193" spans="1:5">
      <c r="A193" t="s">
        <v>20</v>
      </c>
      <c r="B193">
        <v>1385</v>
      </c>
      <c r="D193" t="s">
        <v>14</v>
      </c>
      <c r="E193">
        <v>133</v>
      </c>
    </row>
    <row r="194" spans="1:5">
      <c r="A194" t="s">
        <v>20</v>
      </c>
      <c r="B194">
        <v>190</v>
      </c>
      <c r="D194" t="s">
        <v>14</v>
      </c>
      <c r="E194">
        <v>846</v>
      </c>
    </row>
    <row r="195" spans="1:5">
      <c r="A195" t="s">
        <v>20</v>
      </c>
      <c r="B195">
        <v>470</v>
      </c>
      <c r="D195" t="s">
        <v>14</v>
      </c>
      <c r="E195">
        <v>10</v>
      </c>
    </row>
    <row r="196" spans="1:5">
      <c r="A196" t="s">
        <v>20</v>
      </c>
      <c r="B196">
        <v>253</v>
      </c>
      <c r="D196" t="s">
        <v>14</v>
      </c>
      <c r="E196">
        <v>191</v>
      </c>
    </row>
    <row r="197" spans="1:5">
      <c r="A197" t="s">
        <v>20</v>
      </c>
      <c r="B197">
        <v>1113</v>
      </c>
      <c r="D197" t="s">
        <v>14</v>
      </c>
      <c r="E197">
        <v>1979</v>
      </c>
    </row>
    <row r="198" spans="1:5">
      <c r="A198" t="s">
        <v>20</v>
      </c>
      <c r="B198">
        <v>2283</v>
      </c>
      <c r="D198" t="s">
        <v>14</v>
      </c>
      <c r="E198">
        <v>63</v>
      </c>
    </row>
    <row r="199" spans="1:5">
      <c r="A199" t="s">
        <v>20</v>
      </c>
      <c r="B199">
        <v>1095</v>
      </c>
      <c r="D199" t="s">
        <v>14</v>
      </c>
      <c r="E199">
        <v>6080</v>
      </c>
    </row>
    <row r="200" spans="1:5">
      <c r="A200" t="s">
        <v>20</v>
      </c>
      <c r="B200">
        <v>1690</v>
      </c>
      <c r="D200" t="s">
        <v>14</v>
      </c>
      <c r="E200">
        <v>80</v>
      </c>
    </row>
    <row r="201" spans="1:5">
      <c r="A201" t="s">
        <v>20</v>
      </c>
      <c r="B201">
        <v>191</v>
      </c>
      <c r="D201" t="s">
        <v>14</v>
      </c>
      <c r="E201">
        <v>9</v>
      </c>
    </row>
    <row r="202" spans="1:5">
      <c r="A202" t="s">
        <v>20</v>
      </c>
      <c r="B202">
        <v>2013</v>
      </c>
      <c r="D202" t="s">
        <v>14</v>
      </c>
      <c r="E202">
        <v>1784</v>
      </c>
    </row>
    <row r="203" spans="1:5">
      <c r="A203" t="s">
        <v>20</v>
      </c>
      <c r="B203">
        <v>1703</v>
      </c>
      <c r="D203" t="s">
        <v>14</v>
      </c>
      <c r="E203">
        <v>243</v>
      </c>
    </row>
    <row r="204" spans="1:5">
      <c r="A204" t="s">
        <v>20</v>
      </c>
      <c r="B204">
        <v>80</v>
      </c>
      <c r="D204" t="s">
        <v>14</v>
      </c>
      <c r="E204">
        <v>1296</v>
      </c>
    </row>
    <row r="205" spans="1:5">
      <c r="A205" t="s">
        <v>20</v>
      </c>
      <c r="B205">
        <v>41</v>
      </c>
      <c r="D205" t="s">
        <v>14</v>
      </c>
      <c r="E205">
        <v>77</v>
      </c>
    </row>
    <row r="206" spans="1:5">
      <c r="A206" t="s">
        <v>20</v>
      </c>
      <c r="B206">
        <v>187</v>
      </c>
      <c r="D206" t="s">
        <v>14</v>
      </c>
      <c r="E206">
        <v>395</v>
      </c>
    </row>
    <row r="207" spans="1:5">
      <c r="A207" t="s">
        <v>20</v>
      </c>
      <c r="B207">
        <v>2875</v>
      </c>
      <c r="D207" t="s">
        <v>14</v>
      </c>
      <c r="E207">
        <v>49</v>
      </c>
    </row>
    <row r="208" spans="1:5">
      <c r="A208" t="s">
        <v>20</v>
      </c>
      <c r="B208">
        <v>88</v>
      </c>
      <c r="D208" t="s">
        <v>14</v>
      </c>
      <c r="E208">
        <v>180</v>
      </c>
    </row>
    <row r="209" spans="1:5">
      <c r="A209" t="s">
        <v>20</v>
      </c>
      <c r="B209">
        <v>191</v>
      </c>
      <c r="D209" t="s">
        <v>14</v>
      </c>
      <c r="E209">
        <v>2690</v>
      </c>
    </row>
    <row r="210" spans="1:5">
      <c r="A210" t="s">
        <v>20</v>
      </c>
      <c r="B210">
        <v>139</v>
      </c>
      <c r="D210" t="s">
        <v>14</v>
      </c>
      <c r="E210">
        <v>2779</v>
      </c>
    </row>
    <row r="211" spans="1:5">
      <c r="A211" t="s">
        <v>20</v>
      </c>
      <c r="B211">
        <v>186</v>
      </c>
      <c r="D211" t="s">
        <v>14</v>
      </c>
      <c r="E211">
        <v>92</v>
      </c>
    </row>
    <row r="212" spans="1:5">
      <c r="A212" t="s">
        <v>20</v>
      </c>
      <c r="B212">
        <v>112</v>
      </c>
      <c r="D212" t="s">
        <v>14</v>
      </c>
      <c r="E212">
        <v>1028</v>
      </c>
    </row>
    <row r="213" spans="1:5">
      <c r="A213" t="s">
        <v>20</v>
      </c>
      <c r="B213">
        <v>101</v>
      </c>
      <c r="D213" t="s">
        <v>14</v>
      </c>
      <c r="E213">
        <v>26</v>
      </c>
    </row>
    <row r="214" spans="1:5">
      <c r="A214" t="s">
        <v>20</v>
      </c>
      <c r="B214">
        <v>206</v>
      </c>
      <c r="D214" t="s">
        <v>14</v>
      </c>
      <c r="E214">
        <v>1790</v>
      </c>
    </row>
    <row r="215" spans="1:5">
      <c r="A215" t="s">
        <v>20</v>
      </c>
      <c r="B215">
        <v>154</v>
      </c>
      <c r="D215" t="s">
        <v>14</v>
      </c>
      <c r="E215">
        <v>37</v>
      </c>
    </row>
    <row r="216" spans="1:5">
      <c r="A216" t="s">
        <v>20</v>
      </c>
      <c r="B216">
        <v>5966</v>
      </c>
      <c r="D216" t="s">
        <v>14</v>
      </c>
      <c r="E216">
        <v>35</v>
      </c>
    </row>
    <row r="217" spans="1:5">
      <c r="A217" t="s">
        <v>20</v>
      </c>
      <c r="B217">
        <v>169</v>
      </c>
      <c r="D217" t="s">
        <v>14</v>
      </c>
      <c r="E217">
        <v>558</v>
      </c>
    </row>
    <row r="218" spans="1:5">
      <c r="A218" t="s">
        <v>20</v>
      </c>
      <c r="B218">
        <v>2106</v>
      </c>
      <c r="D218" t="s">
        <v>14</v>
      </c>
      <c r="E218">
        <v>64</v>
      </c>
    </row>
    <row r="219" spans="1:5">
      <c r="A219" t="s">
        <v>20</v>
      </c>
      <c r="B219">
        <v>131</v>
      </c>
      <c r="D219" t="s">
        <v>14</v>
      </c>
      <c r="E219">
        <v>245</v>
      </c>
    </row>
    <row r="220" spans="1:5">
      <c r="A220" t="s">
        <v>20</v>
      </c>
      <c r="B220">
        <v>84</v>
      </c>
      <c r="D220" t="s">
        <v>14</v>
      </c>
      <c r="E220">
        <v>71</v>
      </c>
    </row>
    <row r="221" spans="1:5">
      <c r="A221" t="s">
        <v>20</v>
      </c>
      <c r="B221">
        <v>155</v>
      </c>
      <c r="D221" t="s">
        <v>14</v>
      </c>
      <c r="E221">
        <v>42</v>
      </c>
    </row>
    <row r="222" spans="1:5">
      <c r="A222" t="s">
        <v>20</v>
      </c>
      <c r="B222">
        <v>189</v>
      </c>
      <c r="D222" t="s">
        <v>14</v>
      </c>
      <c r="E222">
        <v>156</v>
      </c>
    </row>
    <row r="223" spans="1:5">
      <c r="A223" t="s">
        <v>20</v>
      </c>
      <c r="B223">
        <v>4799</v>
      </c>
      <c r="D223" t="s">
        <v>14</v>
      </c>
      <c r="E223">
        <v>1368</v>
      </c>
    </row>
    <row r="224" spans="1:5">
      <c r="A224" t="s">
        <v>20</v>
      </c>
      <c r="B224">
        <v>1137</v>
      </c>
      <c r="D224" t="s">
        <v>14</v>
      </c>
      <c r="E224">
        <v>102</v>
      </c>
    </row>
    <row r="225" spans="1:5">
      <c r="A225" t="s">
        <v>20</v>
      </c>
      <c r="B225">
        <v>1152</v>
      </c>
      <c r="D225" t="s">
        <v>14</v>
      </c>
      <c r="E225">
        <v>86</v>
      </c>
    </row>
    <row r="226" spans="1:5">
      <c r="A226" t="s">
        <v>20</v>
      </c>
      <c r="B226">
        <v>50</v>
      </c>
      <c r="D226" t="s">
        <v>14</v>
      </c>
      <c r="E226">
        <v>253</v>
      </c>
    </row>
    <row r="227" spans="1:5">
      <c r="A227" t="s">
        <v>20</v>
      </c>
      <c r="B227">
        <v>3059</v>
      </c>
      <c r="D227" t="s">
        <v>14</v>
      </c>
      <c r="E227">
        <v>157</v>
      </c>
    </row>
    <row r="228" spans="1:5">
      <c r="A228" t="s">
        <v>20</v>
      </c>
      <c r="B228">
        <v>34</v>
      </c>
      <c r="D228" t="s">
        <v>14</v>
      </c>
      <c r="E228">
        <v>183</v>
      </c>
    </row>
    <row r="229" spans="1:5">
      <c r="A229" t="s">
        <v>20</v>
      </c>
      <c r="B229">
        <v>220</v>
      </c>
      <c r="D229" t="s">
        <v>14</v>
      </c>
      <c r="E229">
        <v>82</v>
      </c>
    </row>
    <row r="230" spans="1:5">
      <c r="A230" t="s">
        <v>20</v>
      </c>
      <c r="B230">
        <v>1604</v>
      </c>
      <c r="D230" t="s">
        <v>14</v>
      </c>
      <c r="E230">
        <v>1</v>
      </c>
    </row>
    <row r="231" spans="1:5">
      <c r="A231" t="s">
        <v>20</v>
      </c>
      <c r="B231">
        <v>454</v>
      </c>
      <c r="D231" t="s">
        <v>14</v>
      </c>
      <c r="E231">
        <v>1198</v>
      </c>
    </row>
    <row r="232" spans="1:5">
      <c r="A232" t="s">
        <v>20</v>
      </c>
      <c r="B232">
        <v>123</v>
      </c>
      <c r="D232" t="s">
        <v>14</v>
      </c>
      <c r="E232">
        <v>648</v>
      </c>
    </row>
    <row r="233" spans="1:5">
      <c r="A233" t="s">
        <v>20</v>
      </c>
      <c r="B233">
        <v>299</v>
      </c>
      <c r="D233" t="s">
        <v>14</v>
      </c>
      <c r="E233">
        <v>64</v>
      </c>
    </row>
    <row r="234" spans="1:5">
      <c r="A234" t="s">
        <v>20</v>
      </c>
      <c r="B234">
        <v>2237</v>
      </c>
      <c r="D234" t="s">
        <v>14</v>
      </c>
      <c r="E234">
        <v>62</v>
      </c>
    </row>
    <row r="235" spans="1:5">
      <c r="A235" t="s">
        <v>20</v>
      </c>
      <c r="B235">
        <v>645</v>
      </c>
      <c r="D235" t="s">
        <v>14</v>
      </c>
      <c r="E235">
        <v>750</v>
      </c>
    </row>
    <row r="236" spans="1:5">
      <c r="A236" t="s">
        <v>20</v>
      </c>
      <c r="B236">
        <v>484</v>
      </c>
      <c r="D236" t="s">
        <v>14</v>
      </c>
      <c r="E236">
        <v>105</v>
      </c>
    </row>
    <row r="237" spans="1:5">
      <c r="A237" t="s">
        <v>20</v>
      </c>
      <c r="B237">
        <v>154</v>
      </c>
      <c r="D237" t="s">
        <v>14</v>
      </c>
      <c r="E237">
        <v>2604</v>
      </c>
    </row>
    <row r="238" spans="1:5">
      <c r="A238" t="s">
        <v>20</v>
      </c>
      <c r="B238">
        <v>82</v>
      </c>
      <c r="D238" t="s">
        <v>14</v>
      </c>
      <c r="E238">
        <v>65</v>
      </c>
    </row>
    <row r="239" spans="1:5">
      <c r="A239" t="s">
        <v>20</v>
      </c>
      <c r="B239">
        <v>134</v>
      </c>
      <c r="D239" t="s">
        <v>14</v>
      </c>
      <c r="E239">
        <v>94</v>
      </c>
    </row>
    <row r="240" spans="1:5">
      <c r="A240" t="s">
        <v>20</v>
      </c>
      <c r="B240">
        <v>5203</v>
      </c>
      <c r="D240" t="s">
        <v>14</v>
      </c>
      <c r="E240">
        <v>257</v>
      </c>
    </row>
    <row r="241" spans="1:5">
      <c r="A241" t="s">
        <v>20</v>
      </c>
      <c r="B241">
        <v>94</v>
      </c>
      <c r="D241" t="s">
        <v>14</v>
      </c>
      <c r="E241">
        <v>2928</v>
      </c>
    </row>
    <row r="242" spans="1:5">
      <c r="A242" t="s">
        <v>20</v>
      </c>
      <c r="B242">
        <v>205</v>
      </c>
      <c r="D242" t="s">
        <v>14</v>
      </c>
      <c r="E242">
        <v>4697</v>
      </c>
    </row>
    <row r="243" spans="1:5">
      <c r="A243" t="s">
        <v>20</v>
      </c>
      <c r="B243">
        <v>92</v>
      </c>
      <c r="D243" t="s">
        <v>14</v>
      </c>
      <c r="E243">
        <v>2915</v>
      </c>
    </row>
    <row r="244" spans="1:5">
      <c r="A244" t="s">
        <v>20</v>
      </c>
      <c r="B244">
        <v>219</v>
      </c>
      <c r="D244" t="s">
        <v>14</v>
      </c>
      <c r="E244">
        <v>18</v>
      </c>
    </row>
    <row r="245" spans="1:5">
      <c r="A245" t="s">
        <v>20</v>
      </c>
      <c r="B245">
        <v>2526</v>
      </c>
      <c r="D245" t="s">
        <v>14</v>
      </c>
      <c r="E245">
        <v>602</v>
      </c>
    </row>
    <row r="246" spans="1:5">
      <c r="A246" t="s">
        <v>20</v>
      </c>
      <c r="B246">
        <v>94</v>
      </c>
      <c r="D246" t="s">
        <v>14</v>
      </c>
      <c r="E246">
        <v>1</v>
      </c>
    </row>
    <row r="247" spans="1:5">
      <c r="A247" t="s">
        <v>20</v>
      </c>
      <c r="B247">
        <v>1713</v>
      </c>
      <c r="D247" t="s">
        <v>14</v>
      </c>
      <c r="E247">
        <v>3868</v>
      </c>
    </row>
    <row r="248" spans="1:5">
      <c r="A248" t="s">
        <v>20</v>
      </c>
      <c r="B248">
        <v>249</v>
      </c>
      <c r="D248" t="s">
        <v>14</v>
      </c>
      <c r="E248">
        <v>504</v>
      </c>
    </row>
    <row r="249" spans="1:5">
      <c r="A249" t="s">
        <v>20</v>
      </c>
      <c r="B249">
        <v>192</v>
      </c>
      <c r="D249" t="s">
        <v>14</v>
      </c>
      <c r="E249">
        <v>14</v>
      </c>
    </row>
    <row r="250" spans="1:5">
      <c r="A250" t="s">
        <v>20</v>
      </c>
      <c r="B250">
        <v>247</v>
      </c>
      <c r="D250" t="s">
        <v>14</v>
      </c>
      <c r="E250">
        <v>750</v>
      </c>
    </row>
    <row r="251" spans="1:5">
      <c r="A251" t="s">
        <v>20</v>
      </c>
      <c r="B251">
        <v>2293</v>
      </c>
      <c r="D251" t="s">
        <v>14</v>
      </c>
      <c r="E251">
        <v>77</v>
      </c>
    </row>
    <row r="252" spans="1:5">
      <c r="A252" t="s">
        <v>20</v>
      </c>
      <c r="B252">
        <v>3131</v>
      </c>
      <c r="D252" t="s">
        <v>14</v>
      </c>
      <c r="E252">
        <v>752</v>
      </c>
    </row>
    <row r="253" spans="1:5">
      <c r="A253" t="s">
        <v>20</v>
      </c>
      <c r="B253">
        <v>143</v>
      </c>
      <c r="D253" t="s">
        <v>14</v>
      </c>
      <c r="E253">
        <v>131</v>
      </c>
    </row>
    <row r="254" spans="1:5">
      <c r="A254" t="s">
        <v>20</v>
      </c>
      <c r="B254">
        <v>296</v>
      </c>
      <c r="D254" t="s">
        <v>14</v>
      </c>
      <c r="E254">
        <v>87</v>
      </c>
    </row>
    <row r="255" spans="1:5">
      <c r="A255" t="s">
        <v>20</v>
      </c>
      <c r="B255">
        <v>170</v>
      </c>
      <c r="D255" t="s">
        <v>14</v>
      </c>
      <c r="E255">
        <v>1063</v>
      </c>
    </row>
    <row r="256" spans="1:5">
      <c r="A256" t="s">
        <v>20</v>
      </c>
      <c r="B256">
        <v>86</v>
      </c>
      <c r="D256" t="s">
        <v>14</v>
      </c>
      <c r="E256">
        <v>76</v>
      </c>
    </row>
    <row r="257" spans="1:5">
      <c r="A257" t="s">
        <v>20</v>
      </c>
      <c r="B257">
        <v>6286</v>
      </c>
      <c r="D257" t="s">
        <v>14</v>
      </c>
      <c r="E257">
        <v>4428</v>
      </c>
    </row>
    <row r="258" spans="1:5">
      <c r="A258" t="s">
        <v>20</v>
      </c>
      <c r="B258">
        <v>3727</v>
      </c>
      <c r="D258" t="s">
        <v>14</v>
      </c>
      <c r="E258">
        <v>58</v>
      </c>
    </row>
    <row r="259" spans="1:5">
      <c r="A259" t="s">
        <v>20</v>
      </c>
      <c r="B259">
        <v>1605</v>
      </c>
      <c r="D259" t="s">
        <v>14</v>
      </c>
      <c r="E259">
        <v>111</v>
      </c>
    </row>
    <row r="260" spans="1:5">
      <c r="A260" t="s">
        <v>20</v>
      </c>
      <c r="B260">
        <v>2120</v>
      </c>
      <c r="D260" t="s">
        <v>14</v>
      </c>
      <c r="E260">
        <v>2955</v>
      </c>
    </row>
    <row r="261" spans="1:5">
      <c r="A261" t="s">
        <v>20</v>
      </c>
      <c r="B261">
        <v>50</v>
      </c>
      <c r="D261" t="s">
        <v>14</v>
      </c>
      <c r="E261">
        <v>1657</v>
      </c>
    </row>
    <row r="262" spans="1:5">
      <c r="A262" t="s">
        <v>20</v>
      </c>
      <c r="B262">
        <v>2080</v>
      </c>
      <c r="D262" t="s">
        <v>14</v>
      </c>
      <c r="E262">
        <v>926</v>
      </c>
    </row>
    <row r="263" spans="1:5">
      <c r="A263" t="s">
        <v>20</v>
      </c>
      <c r="B263">
        <v>2105</v>
      </c>
      <c r="D263" t="s">
        <v>14</v>
      </c>
      <c r="E263">
        <v>77</v>
      </c>
    </row>
    <row r="264" spans="1:5">
      <c r="A264" t="s">
        <v>20</v>
      </c>
      <c r="B264">
        <v>2436</v>
      </c>
      <c r="D264" t="s">
        <v>14</v>
      </c>
      <c r="E264">
        <v>1748</v>
      </c>
    </row>
    <row r="265" spans="1:5">
      <c r="A265" t="s">
        <v>20</v>
      </c>
      <c r="B265">
        <v>80</v>
      </c>
      <c r="D265" t="s">
        <v>14</v>
      </c>
      <c r="E265">
        <v>79</v>
      </c>
    </row>
    <row r="266" spans="1:5">
      <c r="A266" t="s">
        <v>20</v>
      </c>
      <c r="B266">
        <v>42</v>
      </c>
      <c r="D266" t="s">
        <v>14</v>
      </c>
      <c r="E266">
        <v>889</v>
      </c>
    </row>
    <row r="267" spans="1:5">
      <c r="A267" t="s">
        <v>20</v>
      </c>
      <c r="B267">
        <v>139</v>
      </c>
      <c r="D267" t="s">
        <v>14</v>
      </c>
      <c r="E267">
        <v>56</v>
      </c>
    </row>
    <row r="268" spans="1:5">
      <c r="A268" t="s">
        <v>20</v>
      </c>
      <c r="B268">
        <v>159</v>
      </c>
      <c r="D268" t="s">
        <v>14</v>
      </c>
      <c r="E268">
        <v>1</v>
      </c>
    </row>
    <row r="269" spans="1:5">
      <c r="A269" t="s">
        <v>20</v>
      </c>
      <c r="B269">
        <v>381</v>
      </c>
      <c r="D269" t="s">
        <v>14</v>
      </c>
      <c r="E269">
        <v>83</v>
      </c>
    </row>
    <row r="270" spans="1:5">
      <c r="A270" t="s">
        <v>20</v>
      </c>
      <c r="B270">
        <v>194</v>
      </c>
      <c r="D270" t="s">
        <v>14</v>
      </c>
      <c r="E270">
        <v>2025</v>
      </c>
    </row>
    <row r="271" spans="1:5">
      <c r="A271" t="s">
        <v>20</v>
      </c>
      <c r="B271">
        <v>106</v>
      </c>
      <c r="D271" t="s">
        <v>14</v>
      </c>
      <c r="E271">
        <v>14</v>
      </c>
    </row>
    <row r="272" spans="1:5">
      <c r="A272" t="s">
        <v>20</v>
      </c>
      <c r="B272">
        <v>142</v>
      </c>
      <c r="D272" t="s">
        <v>14</v>
      </c>
      <c r="E272">
        <v>656</v>
      </c>
    </row>
    <row r="273" spans="1:5">
      <c r="A273" t="s">
        <v>20</v>
      </c>
      <c r="B273">
        <v>211</v>
      </c>
      <c r="D273" t="s">
        <v>14</v>
      </c>
      <c r="E273">
        <v>1596</v>
      </c>
    </row>
    <row r="274" spans="1:5">
      <c r="A274" t="s">
        <v>20</v>
      </c>
      <c r="B274">
        <v>2756</v>
      </c>
      <c r="D274" t="s">
        <v>14</v>
      </c>
      <c r="E274">
        <v>10</v>
      </c>
    </row>
    <row r="275" spans="1:5">
      <c r="A275" t="s">
        <v>20</v>
      </c>
      <c r="B275">
        <v>173</v>
      </c>
      <c r="D275" t="s">
        <v>14</v>
      </c>
      <c r="E275">
        <v>1121</v>
      </c>
    </row>
    <row r="276" spans="1:5">
      <c r="A276" t="s">
        <v>20</v>
      </c>
      <c r="B276">
        <v>87</v>
      </c>
      <c r="D276" t="s">
        <v>14</v>
      </c>
      <c r="E276">
        <v>15</v>
      </c>
    </row>
    <row r="277" spans="1:5">
      <c r="A277" t="s">
        <v>20</v>
      </c>
      <c r="B277">
        <v>1572</v>
      </c>
      <c r="D277" t="s">
        <v>14</v>
      </c>
      <c r="E277">
        <v>191</v>
      </c>
    </row>
    <row r="278" spans="1:5">
      <c r="A278" t="s">
        <v>20</v>
      </c>
      <c r="B278">
        <v>2346</v>
      </c>
      <c r="D278" t="s">
        <v>14</v>
      </c>
      <c r="E278">
        <v>16</v>
      </c>
    </row>
    <row r="279" spans="1:5">
      <c r="A279" t="s">
        <v>20</v>
      </c>
      <c r="B279">
        <v>115</v>
      </c>
      <c r="D279" t="s">
        <v>14</v>
      </c>
      <c r="E279">
        <v>17</v>
      </c>
    </row>
    <row r="280" spans="1:5">
      <c r="A280" t="s">
        <v>20</v>
      </c>
      <c r="B280">
        <v>85</v>
      </c>
      <c r="D280" t="s">
        <v>14</v>
      </c>
      <c r="E280">
        <v>34</v>
      </c>
    </row>
    <row r="281" spans="1:5">
      <c r="A281" t="s">
        <v>20</v>
      </c>
      <c r="B281">
        <v>144</v>
      </c>
      <c r="D281" t="s">
        <v>14</v>
      </c>
      <c r="E281">
        <v>1</v>
      </c>
    </row>
    <row r="282" spans="1:5">
      <c r="A282" t="s">
        <v>20</v>
      </c>
      <c r="B282">
        <v>2443</v>
      </c>
      <c r="D282" t="s">
        <v>14</v>
      </c>
      <c r="E282">
        <v>1274</v>
      </c>
    </row>
    <row r="283" spans="1:5">
      <c r="A283" t="s">
        <v>20</v>
      </c>
      <c r="B283">
        <v>64</v>
      </c>
      <c r="D283" t="s">
        <v>14</v>
      </c>
      <c r="E283">
        <v>210</v>
      </c>
    </row>
    <row r="284" spans="1:5">
      <c r="A284" t="s">
        <v>20</v>
      </c>
      <c r="B284">
        <v>268</v>
      </c>
      <c r="D284" t="s">
        <v>14</v>
      </c>
      <c r="E284">
        <v>248</v>
      </c>
    </row>
    <row r="285" spans="1:5">
      <c r="A285" t="s">
        <v>20</v>
      </c>
      <c r="B285">
        <v>195</v>
      </c>
      <c r="D285" t="s">
        <v>14</v>
      </c>
      <c r="E285">
        <v>513</v>
      </c>
    </row>
    <row r="286" spans="1:5">
      <c r="A286" t="s">
        <v>20</v>
      </c>
      <c r="B286">
        <v>186</v>
      </c>
      <c r="D286" t="s">
        <v>14</v>
      </c>
      <c r="E286">
        <v>3410</v>
      </c>
    </row>
    <row r="287" spans="1:5">
      <c r="A287" t="s">
        <v>20</v>
      </c>
      <c r="B287">
        <v>460</v>
      </c>
      <c r="D287" t="s">
        <v>14</v>
      </c>
      <c r="E287">
        <v>10</v>
      </c>
    </row>
    <row r="288" spans="1:5">
      <c r="A288" t="s">
        <v>20</v>
      </c>
      <c r="B288">
        <v>2528</v>
      </c>
      <c r="D288" t="s">
        <v>14</v>
      </c>
      <c r="E288">
        <v>2201</v>
      </c>
    </row>
    <row r="289" spans="1:5">
      <c r="A289" t="s">
        <v>20</v>
      </c>
      <c r="B289">
        <v>3657</v>
      </c>
      <c r="D289" t="s">
        <v>14</v>
      </c>
      <c r="E289">
        <v>676</v>
      </c>
    </row>
    <row r="290" spans="1:5">
      <c r="A290" t="s">
        <v>20</v>
      </c>
      <c r="B290">
        <v>131</v>
      </c>
      <c r="D290" t="s">
        <v>14</v>
      </c>
      <c r="E290">
        <v>831</v>
      </c>
    </row>
    <row r="291" spans="1:5">
      <c r="A291" t="s">
        <v>20</v>
      </c>
      <c r="B291">
        <v>239</v>
      </c>
      <c r="D291" t="s">
        <v>14</v>
      </c>
      <c r="E291">
        <v>859</v>
      </c>
    </row>
    <row r="292" spans="1:5">
      <c r="A292" t="s">
        <v>20</v>
      </c>
      <c r="B292">
        <v>78</v>
      </c>
      <c r="D292" t="s">
        <v>14</v>
      </c>
      <c r="E292">
        <v>45</v>
      </c>
    </row>
    <row r="293" spans="1:5">
      <c r="A293" t="s">
        <v>20</v>
      </c>
      <c r="B293">
        <v>1773</v>
      </c>
      <c r="D293" t="s">
        <v>14</v>
      </c>
      <c r="E293">
        <v>6</v>
      </c>
    </row>
    <row r="294" spans="1:5">
      <c r="A294" t="s">
        <v>20</v>
      </c>
      <c r="B294">
        <v>32</v>
      </c>
      <c r="D294" t="s">
        <v>14</v>
      </c>
      <c r="E294">
        <v>7</v>
      </c>
    </row>
    <row r="295" spans="1:5">
      <c r="A295" t="s">
        <v>20</v>
      </c>
      <c r="B295">
        <v>369</v>
      </c>
      <c r="D295" t="s">
        <v>14</v>
      </c>
      <c r="E295">
        <v>31</v>
      </c>
    </row>
    <row r="296" spans="1:5">
      <c r="A296" t="s">
        <v>20</v>
      </c>
      <c r="B296">
        <v>89</v>
      </c>
      <c r="D296" t="s">
        <v>14</v>
      </c>
      <c r="E296">
        <v>78</v>
      </c>
    </row>
    <row r="297" spans="1:5">
      <c r="A297" t="s">
        <v>20</v>
      </c>
      <c r="B297">
        <v>147</v>
      </c>
      <c r="D297" t="s">
        <v>14</v>
      </c>
      <c r="E297">
        <v>1225</v>
      </c>
    </row>
    <row r="298" spans="1:5">
      <c r="A298" t="s">
        <v>20</v>
      </c>
      <c r="B298">
        <v>126</v>
      </c>
      <c r="D298" t="s">
        <v>14</v>
      </c>
      <c r="E298">
        <v>1</v>
      </c>
    </row>
    <row r="299" spans="1:5">
      <c r="A299" t="s">
        <v>20</v>
      </c>
      <c r="B299">
        <v>2218</v>
      </c>
      <c r="D299" t="s">
        <v>14</v>
      </c>
      <c r="E299">
        <v>67</v>
      </c>
    </row>
    <row r="300" spans="1:5">
      <c r="A300" t="s">
        <v>20</v>
      </c>
      <c r="B300">
        <v>202</v>
      </c>
      <c r="D300" t="s">
        <v>14</v>
      </c>
      <c r="E300">
        <v>19</v>
      </c>
    </row>
    <row r="301" spans="1:5">
      <c r="A301" t="s">
        <v>20</v>
      </c>
      <c r="B301">
        <v>140</v>
      </c>
      <c r="D301" t="s">
        <v>14</v>
      </c>
      <c r="E301">
        <v>2108</v>
      </c>
    </row>
    <row r="302" spans="1:5">
      <c r="A302" t="s">
        <v>20</v>
      </c>
      <c r="B302">
        <v>1052</v>
      </c>
      <c r="D302" t="s">
        <v>14</v>
      </c>
      <c r="E302">
        <v>679</v>
      </c>
    </row>
    <row r="303" spans="1:5">
      <c r="A303" t="s">
        <v>20</v>
      </c>
      <c r="B303">
        <v>247</v>
      </c>
      <c r="D303" t="s">
        <v>14</v>
      </c>
      <c r="E303">
        <v>36</v>
      </c>
    </row>
    <row r="304" spans="1:5">
      <c r="A304" t="s">
        <v>20</v>
      </c>
      <c r="B304">
        <v>84</v>
      </c>
      <c r="D304" t="s">
        <v>14</v>
      </c>
      <c r="E304">
        <v>47</v>
      </c>
    </row>
    <row r="305" spans="1:5">
      <c r="A305" t="s">
        <v>20</v>
      </c>
      <c r="B305">
        <v>88</v>
      </c>
      <c r="D305" t="s">
        <v>14</v>
      </c>
      <c r="E305">
        <v>70</v>
      </c>
    </row>
    <row r="306" spans="1:5">
      <c r="A306" t="s">
        <v>20</v>
      </c>
      <c r="B306">
        <v>156</v>
      </c>
      <c r="D306" t="s">
        <v>14</v>
      </c>
      <c r="E306">
        <v>154</v>
      </c>
    </row>
    <row r="307" spans="1:5">
      <c r="A307" t="s">
        <v>20</v>
      </c>
      <c r="B307">
        <v>2985</v>
      </c>
      <c r="D307" t="s">
        <v>14</v>
      </c>
      <c r="E307">
        <v>22</v>
      </c>
    </row>
    <row r="308" spans="1:5">
      <c r="A308" t="s">
        <v>20</v>
      </c>
      <c r="B308">
        <v>762</v>
      </c>
      <c r="D308" t="s">
        <v>14</v>
      </c>
      <c r="E308">
        <v>1758</v>
      </c>
    </row>
    <row r="309" spans="1:5">
      <c r="A309" t="s">
        <v>20</v>
      </c>
      <c r="B309">
        <v>554</v>
      </c>
      <c r="D309" t="s">
        <v>14</v>
      </c>
      <c r="E309">
        <v>94</v>
      </c>
    </row>
    <row r="310" spans="1:5">
      <c r="A310" t="s">
        <v>20</v>
      </c>
      <c r="B310">
        <v>135</v>
      </c>
      <c r="D310" t="s">
        <v>14</v>
      </c>
      <c r="E310">
        <v>33</v>
      </c>
    </row>
    <row r="311" spans="1:5">
      <c r="A311" t="s">
        <v>20</v>
      </c>
      <c r="B311">
        <v>122</v>
      </c>
      <c r="D311" t="s">
        <v>14</v>
      </c>
      <c r="E311">
        <v>1</v>
      </c>
    </row>
    <row r="312" spans="1:5">
      <c r="A312" t="s">
        <v>20</v>
      </c>
      <c r="B312">
        <v>221</v>
      </c>
      <c r="D312" t="s">
        <v>14</v>
      </c>
      <c r="E312">
        <v>31</v>
      </c>
    </row>
    <row r="313" spans="1:5">
      <c r="A313" t="s">
        <v>20</v>
      </c>
      <c r="B313">
        <v>126</v>
      </c>
      <c r="D313" t="s">
        <v>14</v>
      </c>
      <c r="E313">
        <v>35</v>
      </c>
    </row>
    <row r="314" spans="1:5">
      <c r="A314" t="s">
        <v>20</v>
      </c>
      <c r="B314">
        <v>1022</v>
      </c>
      <c r="D314" t="s">
        <v>14</v>
      </c>
      <c r="E314">
        <v>63</v>
      </c>
    </row>
    <row r="315" spans="1:5">
      <c r="A315" t="s">
        <v>20</v>
      </c>
      <c r="B315">
        <v>3177</v>
      </c>
      <c r="D315" t="s">
        <v>14</v>
      </c>
      <c r="E315">
        <v>526</v>
      </c>
    </row>
    <row r="316" spans="1:5">
      <c r="A316" t="s">
        <v>20</v>
      </c>
      <c r="B316">
        <v>198</v>
      </c>
      <c r="D316" t="s">
        <v>14</v>
      </c>
      <c r="E316">
        <v>121</v>
      </c>
    </row>
    <row r="317" spans="1:5">
      <c r="A317" t="s">
        <v>20</v>
      </c>
      <c r="B317">
        <v>85</v>
      </c>
      <c r="D317" t="s">
        <v>14</v>
      </c>
      <c r="E317">
        <v>67</v>
      </c>
    </row>
    <row r="318" spans="1:5">
      <c r="A318" t="s">
        <v>20</v>
      </c>
      <c r="B318">
        <v>3596</v>
      </c>
      <c r="D318" t="s">
        <v>14</v>
      </c>
      <c r="E318">
        <v>57</v>
      </c>
    </row>
    <row r="319" spans="1:5">
      <c r="A319" t="s">
        <v>20</v>
      </c>
      <c r="B319">
        <v>244</v>
      </c>
      <c r="D319" t="s">
        <v>14</v>
      </c>
      <c r="E319">
        <v>1229</v>
      </c>
    </row>
    <row r="320" spans="1:5">
      <c r="A320" t="s">
        <v>20</v>
      </c>
      <c r="B320">
        <v>5180</v>
      </c>
      <c r="D320" t="s">
        <v>14</v>
      </c>
      <c r="E320">
        <v>12</v>
      </c>
    </row>
    <row r="321" spans="1:5">
      <c r="A321" t="s">
        <v>20</v>
      </c>
      <c r="B321">
        <v>589</v>
      </c>
      <c r="D321" t="s">
        <v>14</v>
      </c>
      <c r="E321">
        <v>452</v>
      </c>
    </row>
    <row r="322" spans="1:5">
      <c r="A322" t="s">
        <v>20</v>
      </c>
      <c r="B322">
        <v>2725</v>
      </c>
      <c r="D322" t="s">
        <v>14</v>
      </c>
      <c r="E322">
        <v>1886</v>
      </c>
    </row>
    <row r="323" spans="1:5">
      <c r="A323" t="s">
        <v>20</v>
      </c>
      <c r="B323">
        <v>300</v>
      </c>
      <c r="D323" t="s">
        <v>14</v>
      </c>
      <c r="E323">
        <v>1825</v>
      </c>
    </row>
    <row r="324" spans="1:5">
      <c r="A324" t="s">
        <v>20</v>
      </c>
      <c r="B324">
        <v>144</v>
      </c>
      <c r="D324" t="s">
        <v>14</v>
      </c>
      <c r="E324">
        <v>31</v>
      </c>
    </row>
    <row r="325" spans="1:5">
      <c r="A325" t="s">
        <v>20</v>
      </c>
      <c r="B325">
        <v>87</v>
      </c>
      <c r="D325" t="s">
        <v>14</v>
      </c>
      <c r="E325">
        <v>107</v>
      </c>
    </row>
    <row r="326" spans="1:5">
      <c r="A326" t="s">
        <v>20</v>
      </c>
      <c r="B326">
        <v>3116</v>
      </c>
      <c r="D326" t="s">
        <v>14</v>
      </c>
      <c r="E326">
        <v>27</v>
      </c>
    </row>
    <row r="327" spans="1:5">
      <c r="A327" t="s">
        <v>20</v>
      </c>
      <c r="B327">
        <v>909</v>
      </c>
      <c r="D327" t="s">
        <v>14</v>
      </c>
      <c r="E327">
        <v>1221</v>
      </c>
    </row>
    <row r="328" spans="1:5">
      <c r="A328" t="s">
        <v>20</v>
      </c>
      <c r="B328">
        <v>1613</v>
      </c>
      <c r="D328" t="s">
        <v>14</v>
      </c>
      <c r="E328">
        <v>1</v>
      </c>
    </row>
    <row r="329" spans="1:5">
      <c r="A329" t="s">
        <v>20</v>
      </c>
      <c r="B329">
        <v>136</v>
      </c>
      <c r="D329" t="s">
        <v>14</v>
      </c>
      <c r="E329">
        <v>16</v>
      </c>
    </row>
    <row r="330" spans="1:5">
      <c r="A330" t="s">
        <v>20</v>
      </c>
      <c r="B330">
        <v>130</v>
      </c>
      <c r="D330" t="s">
        <v>14</v>
      </c>
      <c r="E330">
        <v>41</v>
      </c>
    </row>
    <row r="331" spans="1:5">
      <c r="A331" t="s">
        <v>20</v>
      </c>
      <c r="B331">
        <v>102</v>
      </c>
      <c r="D331" t="s">
        <v>14</v>
      </c>
      <c r="E331">
        <v>523</v>
      </c>
    </row>
    <row r="332" spans="1:5">
      <c r="A332" t="s">
        <v>20</v>
      </c>
      <c r="B332">
        <v>4006</v>
      </c>
      <c r="D332" t="s">
        <v>14</v>
      </c>
      <c r="E332">
        <v>141</v>
      </c>
    </row>
    <row r="333" spans="1:5">
      <c r="A333" t="s">
        <v>20</v>
      </c>
      <c r="B333">
        <v>1629</v>
      </c>
      <c r="D333" t="s">
        <v>14</v>
      </c>
      <c r="E333">
        <v>52</v>
      </c>
    </row>
    <row r="334" spans="1:5">
      <c r="A334" t="s">
        <v>20</v>
      </c>
      <c r="B334">
        <v>2188</v>
      </c>
      <c r="D334" t="s">
        <v>14</v>
      </c>
      <c r="E334">
        <v>225</v>
      </c>
    </row>
    <row r="335" spans="1:5">
      <c r="A335" t="s">
        <v>20</v>
      </c>
      <c r="B335">
        <v>2409</v>
      </c>
      <c r="D335" t="s">
        <v>14</v>
      </c>
      <c r="E335">
        <v>38</v>
      </c>
    </row>
    <row r="336" spans="1:5">
      <c r="A336" t="s">
        <v>20</v>
      </c>
      <c r="B336">
        <v>194</v>
      </c>
      <c r="D336" t="s">
        <v>14</v>
      </c>
      <c r="E336">
        <v>15</v>
      </c>
    </row>
    <row r="337" spans="1:5">
      <c r="A337" t="s">
        <v>20</v>
      </c>
      <c r="B337">
        <v>1140</v>
      </c>
      <c r="D337" t="s">
        <v>14</v>
      </c>
      <c r="E337">
        <v>37</v>
      </c>
    </row>
    <row r="338" spans="1:5">
      <c r="A338" t="s">
        <v>20</v>
      </c>
      <c r="B338">
        <v>102</v>
      </c>
      <c r="D338" t="s">
        <v>14</v>
      </c>
      <c r="E338">
        <v>112</v>
      </c>
    </row>
    <row r="339" spans="1:5">
      <c r="A339" t="s">
        <v>20</v>
      </c>
      <c r="B339">
        <v>2857</v>
      </c>
      <c r="D339" t="s">
        <v>14</v>
      </c>
      <c r="E339">
        <v>21</v>
      </c>
    </row>
    <row r="340" spans="1:5">
      <c r="A340" t="s">
        <v>20</v>
      </c>
      <c r="B340">
        <v>107</v>
      </c>
      <c r="D340" t="s">
        <v>14</v>
      </c>
      <c r="E340">
        <v>67</v>
      </c>
    </row>
    <row r="341" spans="1:5">
      <c r="A341" t="s">
        <v>20</v>
      </c>
      <c r="B341">
        <v>160</v>
      </c>
      <c r="D341" t="s">
        <v>14</v>
      </c>
      <c r="E341">
        <v>78</v>
      </c>
    </row>
    <row r="342" spans="1:5">
      <c r="A342" t="s">
        <v>20</v>
      </c>
      <c r="B342">
        <v>2230</v>
      </c>
      <c r="D342" t="s">
        <v>14</v>
      </c>
      <c r="E342">
        <v>67</v>
      </c>
    </row>
    <row r="343" spans="1:5">
      <c r="A343" t="s">
        <v>20</v>
      </c>
      <c r="B343">
        <v>316</v>
      </c>
      <c r="D343" t="s">
        <v>14</v>
      </c>
      <c r="E343">
        <v>263</v>
      </c>
    </row>
    <row r="344" spans="1:5">
      <c r="A344" t="s">
        <v>20</v>
      </c>
      <c r="B344">
        <v>117</v>
      </c>
      <c r="D344" t="s">
        <v>14</v>
      </c>
      <c r="E344">
        <v>1691</v>
      </c>
    </row>
    <row r="345" spans="1:5">
      <c r="A345" t="s">
        <v>20</v>
      </c>
      <c r="B345">
        <v>6406</v>
      </c>
      <c r="D345" t="s">
        <v>14</v>
      </c>
      <c r="E345">
        <v>181</v>
      </c>
    </row>
    <row r="346" spans="1:5">
      <c r="A346" t="s">
        <v>20</v>
      </c>
      <c r="B346">
        <v>192</v>
      </c>
      <c r="D346" t="s">
        <v>14</v>
      </c>
      <c r="E346">
        <v>13</v>
      </c>
    </row>
    <row r="347" spans="1:5">
      <c r="A347" t="s">
        <v>20</v>
      </c>
      <c r="B347">
        <v>26</v>
      </c>
      <c r="D347" t="s">
        <v>14</v>
      </c>
      <c r="E347">
        <v>1</v>
      </c>
    </row>
    <row r="348" spans="1:5">
      <c r="A348" t="s">
        <v>20</v>
      </c>
      <c r="B348">
        <v>723</v>
      </c>
      <c r="D348" t="s">
        <v>14</v>
      </c>
      <c r="E348">
        <v>21</v>
      </c>
    </row>
    <row r="349" spans="1:5">
      <c r="A349" t="s">
        <v>20</v>
      </c>
      <c r="B349">
        <v>170</v>
      </c>
      <c r="D349" t="s">
        <v>14</v>
      </c>
      <c r="E349">
        <v>830</v>
      </c>
    </row>
    <row r="350" spans="1:5">
      <c r="A350" t="s">
        <v>20</v>
      </c>
      <c r="B350">
        <v>238</v>
      </c>
      <c r="D350" t="s">
        <v>14</v>
      </c>
      <c r="E350">
        <v>130</v>
      </c>
    </row>
    <row r="351" spans="1:5">
      <c r="A351" t="s">
        <v>20</v>
      </c>
      <c r="B351">
        <v>55</v>
      </c>
      <c r="D351" t="s">
        <v>14</v>
      </c>
      <c r="E351">
        <v>55</v>
      </c>
    </row>
    <row r="352" spans="1:5">
      <c r="A352" t="s">
        <v>20</v>
      </c>
      <c r="B352">
        <v>128</v>
      </c>
      <c r="D352" t="s">
        <v>14</v>
      </c>
      <c r="E352">
        <v>114</v>
      </c>
    </row>
    <row r="353" spans="1:5">
      <c r="A353" t="s">
        <v>20</v>
      </c>
      <c r="B353">
        <v>2144</v>
      </c>
      <c r="D353" t="s">
        <v>14</v>
      </c>
      <c r="E353">
        <v>594</v>
      </c>
    </row>
    <row r="354" spans="1:5">
      <c r="A354" t="s">
        <v>20</v>
      </c>
      <c r="B354">
        <v>2693</v>
      </c>
      <c r="D354" t="s">
        <v>14</v>
      </c>
      <c r="E354">
        <v>24</v>
      </c>
    </row>
    <row r="355" spans="1:5">
      <c r="A355" t="s">
        <v>20</v>
      </c>
      <c r="B355">
        <v>432</v>
      </c>
      <c r="D355" t="s">
        <v>14</v>
      </c>
      <c r="E355">
        <v>252</v>
      </c>
    </row>
    <row r="356" spans="1:5">
      <c r="A356" t="s">
        <v>20</v>
      </c>
      <c r="B356">
        <v>189</v>
      </c>
      <c r="D356" t="s">
        <v>14</v>
      </c>
      <c r="E356">
        <v>67</v>
      </c>
    </row>
    <row r="357" spans="1:5">
      <c r="A357" t="s">
        <v>20</v>
      </c>
      <c r="B357">
        <v>154</v>
      </c>
      <c r="D357" t="s">
        <v>14</v>
      </c>
      <c r="E357">
        <v>742</v>
      </c>
    </row>
    <row r="358" spans="1:5">
      <c r="A358" t="s">
        <v>20</v>
      </c>
      <c r="B358">
        <v>96</v>
      </c>
      <c r="D358" t="s">
        <v>14</v>
      </c>
      <c r="E358">
        <v>75</v>
      </c>
    </row>
    <row r="359" spans="1:5">
      <c r="A359" t="s">
        <v>20</v>
      </c>
      <c r="B359">
        <v>3063</v>
      </c>
      <c r="D359" t="s">
        <v>14</v>
      </c>
      <c r="E359">
        <v>4405</v>
      </c>
    </row>
    <row r="360" spans="1:5">
      <c r="A360" t="s">
        <v>20</v>
      </c>
      <c r="B360">
        <v>2266</v>
      </c>
      <c r="D360" t="s">
        <v>14</v>
      </c>
      <c r="E360">
        <v>92</v>
      </c>
    </row>
    <row r="361" spans="1:5">
      <c r="A361" t="s">
        <v>20</v>
      </c>
      <c r="B361">
        <v>194</v>
      </c>
      <c r="D361" t="s">
        <v>14</v>
      </c>
      <c r="E361">
        <v>64</v>
      </c>
    </row>
    <row r="362" spans="1:5">
      <c r="A362" t="s">
        <v>20</v>
      </c>
      <c r="B362">
        <v>129</v>
      </c>
      <c r="D362" t="s">
        <v>14</v>
      </c>
      <c r="E362">
        <v>64</v>
      </c>
    </row>
    <row r="363" spans="1:5">
      <c r="A363" t="s">
        <v>20</v>
      </c>
      <c r="B363">
        <v>375</v>
      </c>
      <c r="D363" t="s">
        <v>14</v>
      </c>
      <c r="E363">
        <v>842</v>
      </c>
    </row>
    <row r="364" spans="1:5">
      <c r="A364" t="s">
        <v>20</v>
      </c>
      <c r="B364">
        <v>409</v>
      </c>
      <c r="D364" t="s">
        <v>14</v>
      </c>
      <c r="E364">
        <v>112</v>
      </c>
    </row>
    <row r="365" spans="1:5">
      <c r="A365" t="s">
        <v>20</v>
      </c>
      <c r="B365">
        <v>234</v>
      </c>
      <c r="D365" t="s">
        <v>14</v>
      </c>
      <c r="E365">
        <v>374</v>
      </c>
    </row>
    <row r="366" spans="1:5">
      <c r="A366" t="s">
        <v>20</v>
      </c>
      <c r="B366">
        <v>3016</v>
      </c>
    </row>
    <row r="367" spans="1:5">
      <c r="A367" t="s">
        <v>20</v>
      </c>
      <c r="B367">
        <v>264</v>
      </c>
    </row>
    <row r="368" spans="1:5">
      <c r="A368" t="s">
        <v>20</v>
      </c>
      <c r="B368">
        <v>272</v>
      </c>
    </row>
    <row r="369" spans="1:2">
      <c r="A369" t="s">
        <v>20</v>
      </c>
      <c r="B369">
        <v>419</v>
      </c>
    </row>
    <row r="370" spans="1:2">
      <c r="A370" t="s">
        <v>20</v>
      </c>
      <c r="B370">
        <v>1621</v>
      </c>
    </row>
    <row r="371" spans="1:2">
      <c r="A371" t="s">
        <v>20</v>
      </c>
      <c r="B371">
        <v>1101</v>
      </c>
    </row>
    <row r="372" spans="1:2">
      <c r="A372" t="s">
        <v>20</v>
      </c>
      <c r="B372">
        <v>1073</v>
      </c>
    </row>
    <row r="373" spans="1:2">
      <c r="A373" t="s">
        <v>20</v>
      </c>
      <c r="B373">
        <v>331</v>
      </c>
    </row>
    <row r="374" spans="1:2">
      <c r="A374" t="s">
        <v>20</v>
      </c>
      <c r="B374">
        <v>1170</v>
      </c>
    </row>
    <row r="375" spans="1:2">
      <c r="A375" t="s">
        <v>20</v>
      </c>
      <c r="B375">
        <v>363</v>
      </c>
    </row>
    <row r="376" spans="1:2">
      <c r="A376" t="s">
        <v>20</v>
      </c>
      <c r="B376">
        <v>103</v>
      </c>
    </row>
    <row r="377" spans="1:2">
      <c r="A377" t="s">
        <v>20</v>
      </c>
      <c r="B377">
        <v>147</v>
      </c>
    </row>
    <row r="378" spans="1:2">
      <c r="A378" t="s">
        <v>20</v>
      </c>
      <c r="B378">
        <v>110</v>
      </c>
    </row>
    <row r="379" spans="1:2">
      <c r="A379" t="s">
        <v>20</v>
      </c>
      <c r="B379">
        <v>134</v>
      </c>
    </row>
    <row r="380" spans="1:2">
      <c r="A380" t="s">
        <v>20</v>
      </c>
      <c r="B380">
        <v>269</v>
      </c>
    </row>
    <row r="381" spans="1:2">
      <c r="A381" t="s">
        <v>20</v>
      </c>
      <c r="B381">
        <v>175</v>
      </c>
    </row>
    <row r="382" spans="1:2">
      <c r="A382" t="s">
        <v>20</v>
      </c>
      <c r="B382">
        <v>69</v>
      </c>
    </row>
    <row r="383" spans="1:2">
      <c r="A383" t="s">
        <v>20</v>
      </c>
      <c r="B383">
        <v>190</v>
      </c>
    </row>
    <row r="384" spans="1:2">
      <c r="A384" t="s">
        <v>20</v>
      </c>
      <c r="B384">
        <v>237</v>
      </c>
    </row>
    <row r="385" spans="1:2">
      <c r="A385" t="s">
        <v>20</v>
      </c>
      <c r="B385">
        <v>196</v>
      </c>
    </row>
    <row r="386" spans="1:2">
      <c r="A386" t="s">
        <v>20</v>
      </c>
      <c r="B386">
        <v>7295</v>
      </c>
    </row>
    <row r="387" spans="1:2">
      <c r="A387" t="s">
        <v>20</v>
      </c>
      <c r="B387">
        <v>2893</v>
      </c>
    </row>
    <row r="388" spans="1:2">
      <c r="A388" t="s">
        <v>20</v>
      </c>
      <c r="B388">
        <v>820</v>
      </c>
    </row>
    <row r="389" spans="1:2">
      <c r="A389" t="s">
        <v>20</v>
      </c>
      <c r="B389">
        <v>2038</v>
      </c>
    </row>
    <row r="390" spans="1:2">
      <c r="A390" t="s">
        <v>20</v>
      </c>
      <c r="B390">
        <v>116</v>
      </c>
    </row>
    <row r="391" spans="1:2">
      <c r="A391" t="s">
        <v>20</v>
      </c>
      <c r="B391">
        <v>1345</v>
      </c>
    </row>
    <row r="392" spans="1:2">
      <c r="A392" t="s">
        <v>20</v>
      </c>
      <c r="B392">
        <v>168</v>
      </c>
    </row>
    <row r="393" spans="1:2">
      <c r="A393" t="s">
        <v>20</v>
      </c>
      <c r="B393">
        <v>137</v>
      </c>
    </row>
    <row r="394" spans="1:2">
      <c r="A394" t="s">
        <v>20</v>
      </c>
      <c r="B394">
        <v>186</v>
      </c>
    </row>
    <row r="395" spans="1:2">
      <c r="A395" t="s">
        <v>20</v>
      </c>
      <c r="B395">
        <v>125</v>
      </c>
    </row>
    <row r="396" spans="1:2">
      <c r="A396" t="s">
        <v>20</v>
      </c>
      <c r="B396">
        <v>202</v>
      </c>
    </row>
    <row r="397" spans="1:2">
      <c r="A397" t="s">
        <v>20</v>
      </c>
      <c r="B397">
        <v>103</v>
      </c>
    </row>
    <row r="398" spans="1:2">
      <c r="A398" t="s">
        <v>20</v>
      </c>
      <c r="B398">
        <v>1785</v>
      </c>
    </row>
    <row r="399" spans="1:2">
      <c r="A399" t="s">
        <v>20</v>
      </c>
      <c r="B399">
        <v>157</v>
      </c>
    </row>
    <row r="400" spans="1:2">
      <c r="A400" t="s">
        <v>20</v>
      </c>
      <c r="B400">
        <v>555</v>
      </c>
    </row>
    <row r="401" spans="1:2">
      <c r="A401" t="s">
        <v>20</v>
      </c>
      <c r="B401">
        <v>297</v>
      </c>
    </row>
    <row r="402" spans="1:2">
      <c r="A402" t="s">
        <v>20</v>
      </c>
      <c r="B402">
        <v>123</v>
      </c>
    </row>
    <row r="403" spans="1:2">
      <c r="A403" t="s">
        <v>20</v>
      </c>
      <c r="B403">
        <v>3036</v>
      </c>
    </row>
    <row r="404" spans="1:2">
      <c r="A404" t="s">
        <v>20</v>
      </c>
      <c r="B404">
        <v>144</v>
      </c>
    </row>
    <row r="405" spans="1:2">
      <c r="A405" t="s">
        <v>20</v>
      </c>
      <c r="B405">
        <v>121</v>
      </c>
    </row>
    <row r="406" spans="1:2">
      <c r="A406" t="s">
        <v>20</v>
      </c>
      <c r="B406">
        <v>181</v>
      </c>
    </row>
    <row r="407" spans="1:2">
      <c r="A407" t="s">
        <v>20</v>
      </c>
      <c r="B407">
        <v>122</v>
      </c>
    </row>
    <row r="408" spans="1:2">
      <c r="A408" t="s">
        <v>20</v>
      </c>
      <c r="B408">
        <v>1071</v>
      </c>
    </row>
    <row r="409" spans="1:2">
      <c r="A409" t="s">
        <v>20</v>
      </c>
      <c r="B409">
        <v>980</v>
      </c>
    </row>
    <row r="410" spans="1:2">
      <c r="A410" t="s">
        <v>20</v>
      </c>
      <c r="B410">
        <v>536</v>
      </c>
    </row>
    <row r="411" spans="1:2">
      <c r="A411" t="s">
        <v>20</v>
      </c>
      <c r="B411">
        <v>1991</v>
      </c>
    </row>
    <row r="412" spans="1:2">
      <c r="A412" t="s">
        <v>20</v>
      </c>
      <c r="B412">
        <v>180</v>
      </c>
    </row>
    <row r="413" spans="1:2">
      <c r="A413" t="s">
        <v>20</v>
      </c>
      <c r="B413">
        <v>130</v>
      </c>
    </row>
    <row r="414" spans="1:2">
      <c r="A414" t="s">
        <v>20</v>
      </c>
      <c r="B414">
        <v>122</v>
      </c>
    </row>
    <row r="415" spans="1:2">
      <c r="A415" t="s">
        <v>20</v>
      </c>
      <c r="B415">
        <v>140</v>
      </c>
    </row>
    <row r="416" spans="1:2">
      <c r="A416" t="s">
        <v>20</v>
      </c>
      <c r="B416">
        <v>3388</v>
      </c>
    </row>
    <row r="417" spans="1:2">
      <c r="A417" t="s">
        <v>20</v>
      </c>
      <c r="B417">
        <v>280</v>
      </c>
    </row>
    <row r="418" spans="1:2">
      <c r="A418" t="s">
        <v>20</v>
      </c>
      <c r="B418">
        <v>366</v>
      </c>
    </row>
    <row r="419" spans="1:2">
      <c r="A419" t="s">
        <v>20</v>
      </c>
      <c r="B419">
        <v>270</v>
      </c>
    </row>
    <row r="420" spans="1:2">
      <c r="A420" t="s">
        <v>20</v>
      </c>
      <c r="B420">
        <v>137</v>
      </c>
    </row>
    <row r="421" spans="1:2">
      <c r="A421" t="s">
        <v>20</v>
      </c>
      <c r="B421">
        <v>3205</v>
      </c>
    </row>
    <row r="422" spans="1:2">
      <c r="A422" t="s">
        <v>20</v>
      </c>
      <c r="B422">
        <v>288</v>
      </c>
    </row>
    <row r="423" spans="1:2">
      <c r="A423" t="s">
        <v>20</v>
      </c>
      <c r="B423">
        <v>148</v>
      </c>
    </row>
    <row r="424" spans="1:2">
      <c r="A424" t="s">
        <v>20</v>
      </c>
      <c r="B424">
        <v>114</v>
      </c>
    </row>
    <row r="425" spans="1:2">
      <c r="A425" t="s">
        <v>20</v>
      </c>
      <c r="B425">
        <v>1518</v>
      </c>
    </row>
    <row r="426" spans="1:2">
      <c r="A426" t="s">
        <v>20</v>
      </c>
      <c r="B426">
        <v>166</v>
      </c>
    </row>
    <row r="427" spans="1:2">
      <c r="A427" t="s">
        <v>20</v>
      </c>
      <c r="B427">
        <v>100</v>
      </c>
    </row>
    <row r="428" spans="1:2">
      <c r="A428" t="s">
        <v>20</v>
      </c>
      <c r="B428">
        <v>235</v>
      </c>
    </row>
    <row r="429" spans="1:2">
      <c r="A429" t="s">
        <v>20</v>
      </c>
      <c r="B429">
        <v>148</v>
      </c>
    </row>
    <row r="430" spans="1:2">
      <c r="A430" t="s">
        <v>20</v>
      </c>
      <c r="B430">
        <v>198</v>
      </c>
    </row>
    <row r="431" spans="1:2">
      <c r="A431" t="s">
        <v>20</v>
      </c>
      <c r="B431">
        <v>150</v>
      </c>
    </row>
    <row r="432" spans="1:2">
      <c r="A432" t="s">
        <v>20</v>
      </c>
      <c r="B432">
        <v>216</v>
      </c>
    </row>
    <row r="433" spans="1:2">
      <c r="A433" t="s">
        <v>20</v>
      </c>
      <c r="B433">
        <v>5139</v>
      </c>
    </row>
    <row r="434" spans="1:2">
      <c r="A434" t="s">
        <v>20</v>
      </c>
      <c r="B434">
        <v>2353</v>
      </c>
    </row>
    <row r="435" spans="1:2">
      <c r="A435" t="s">
        <v>20</v>
      </c>
      <c r="B435">
        <v>78</v>
      </c>
    </row>
    <row r="436" spans="1:2">
      <c r="A436" t="s">
        <v>20</v>
      </c>
      <c r="B436">
        <v>174</v>
      </c>
    </row>
    <row r="437" spans="1:2">
      <c r="A437" t="s">
        <v>20</v>
      </c>
      <c r="B437">
        <v>164</v>
      </c>
    </row>
    <row r="438" spans="1:2">
      <c r="A438" t="s">
        <v>20</v>
      </c>
      <c r="B438">
        <v>161</v>
      </c>
    </row>
    <row r="439" spans="1:2">
      <c r="A439" t="s">
        <v>20</v>
      </c>
      <c r="B439">
        <v>138</v>
      </c>
    </row>
    <row r="440" spans="1:2">
      <c r="A440" t="s">
        <v>20</v>
      </c>
      <c r="B440">
        <v>3308</v>
      </c>
    </row>
    <row r="441" spans="1:2">
      <c r="A441" t="s">
        <v>20</v>
      </c>
      <c r="B441">
        <v>127</v>
      </c>
    </row>
    <row r="442" spans="1:2">
      <c r="A442" t="s">
        <v>20</v>
      </c>
      <c r="B442">
        <v>207</v>
      </c>
    </row>
    <row r="443" spans="1:2">
      <c r="A443" t="s">
        <v>20</v>
      </c>
      <c r="B443">
        <v>181</v>
      </c>
    </row>
    <row r="444" spans="1:2">
      <c r="A444" t="s">
        <v>20</v>
      </c>
      <c r="B444">
        <v>110</v>
      </c>
    </row>
    <row r="445" spans="1:2">
      <c r="A445" t="s">
        <v>20</v>
      </c>
      <c r="B445">
        <v>185</v>
      </c>
    </row>
    <row r="446" spans="1:2">
      <c r="A446" t="s">
        <v>20</v>
      </c>
      <c r="B446">
        <v>121</v>
      </c>
    </row>
    <row r="447" spans="1:2">
      <c r="A447" t="s">
        <v>20</v>
      </c>
      <c r="B447">
        <v>106</v>
      </c>
    </row>
    <row r="448" spans="1:2">
      <c r="A448" t="s">
        <v>20</v>
      </c>
      <c r="B448">
        <v>142</v>
      </c>
    </row>
    <row r="449" spans="1:2">
      <c r="A449" t="s">
        <v>20</v>
      </c>
      <c r="B449">
        <v>233</v>
      </c>
    </row>
    <row r="450" spans="1:2">
      <c r="A450" t="s">
        <v>20</v>
      </c>
      <c r="B450">
        <v>218</v>
      </c>
    </row>
    <row r="451" spans="1:2">
      <c r="A451" t="s">
        <v>20</v>
      </c>
      <c r="B451">
        <v>76</v>
      </c>
    </row>
    <row r="452" spans="1:2">
      <c r="A452" t="s">
        <v>20</v>
      </c>
      <c r="B452">
        <v>43</v>
      </c>
    </row>
    <row r="453" spans="1:2">
      <c r="A453" t="s">
        <v>20</v>
      </c>
      <c r="B453">
        <v>221</v>
      </c>
    </row>
    <row r="454" spans="1:2">
      <c r="A454" t="s">
        <v>20</v>
      </c>
      <c r="B454">
        <v>2805</v>
      </c>
    </row>
    <row r="455" spans="1:2">
      <c r="A455" t="s">
        <v>20</v>
      </c>
      <c r="B455">
        <v>68</v>
      </c>
    </row>
    <row r="456" spans="1:2">
      <c r="A456" t="s">
        <v>20</v>
      </c>
      <c r="B456">
        <v>183</v>
      </c>
    </row>
    <row r="457" spans="1:2">
      <c r="A457" t="s">
        <v>20</v>
      </c>
      <c r="B457">
        <v>133</v>
      </c>
    </row>
    <row r="458" spans="1:2">
      <c r="A458" t="s">
        <v>20</v>
      </c>
      <c r="B458">
        <v>2489</v>
      </c>
    </row>
    <row r="459" spans="1:2">
      <c r="A459" t="s">
        <v>20</v>
      </c>
      <c r="B459">
        <v>69</v>
      </c>
    </row>
    <row r="460" spans="1:2">
      <c r="A460" t="s">
        <v>20</v>
      </c>
      <c r="B460">
        <v>279</v>
      </c>
    </row>
    <row r="461" spans="1:2">
      <c r="A461" t="s">
        <v>20</v>
      </c>
      <c r="B461">
        <v>210</v>
      </c>
    </row>
    <row r="462" spans="1:2">
      <c r="A462" t="s">
        <v>20</v>
      </c>
      <c r="B462">
        <v>2100</v>
      </c>
    </row>
    <row r="463" spans="1:2">
      <c r="A463" t="s">
        <v>20</v>
      </c>
      <c r="B463">
        <v>252</v>
      </c>
    </row>
    <row r="464" spans="1:2">
      <c r="A464" t="s">
        <v>20</v>
      </c>
      <c r="B464">
        <v>1280</v>
      </c>
    </row>
    <row r="465" spans="1:2">
      <c r="A465" t="s">
        <v>20</v>
      </c>
      <c r="B465">
        <v>157</v>
      </c>
    </row>
    <row r="466" spans="1:2">
      <c r="A466" t="s">
        <v>20</v>
      </c>
      <c r="B466">
        <v>194</v>
      </c>
    </row>
    <row r="467" spans="1:2">
      <c r="A467" t="s">
        <v>20</v>
      </c>
      <c r="B467">
        <v>82</v>
      </c>
    </row>
    <row r="468" spans="1:2">
      <c r="A468" t="s">
        <v>20</v>
      </c>
      <c r="B468">
        <v>4233</v>
      </c>
    </row>
    <row r="469" spans="1:2">
      <c r="A469" t="s">
        <v>20</v>
      </c>
      <c r="B469">
        <v>1297</v>
      </c>
    </row>
    <row r="470" spans="1:2">
      <c r="A470" t="s">
        <v>20</v>
      </c>
      <c r="B470">
        <v>165</v>
      </c>
    </row>
    <row r="471" spans="1:2">
      <c r="A471" t="s">
        <v>20</v>
      </c>
      <c r="B471">
        <v>119</v>
      </c>
    </row>
    <row r="472" spans="1:2">
      <c r="A472" t="s">
        <v>20</v>
      </c>
      <c r="B472">
        <v>1797</v>
      </c>
    </row>
    <row r="473" spans="1:2">
      <c r="A473" t="s">
        <v>20</v>
      </c>
      <c r="B473">
        <v>261</v>
      </c>
    </row>
    <row r="474" spans="1:2">
      <c r="A474" t="s">
        <v>20</v>
      </c>
      <c r="B474">
        <v>157</v>
      </c>
    </row>
    <row r="475" spans="1:2">
      <c r="A475" t="s">
        <v>20</v>
      </c>
      <c r="B475">
        <v>3533</v>
      </c>
    </row>
    <row r="476" spans="1:2">
      <c r="A476" t="s">
        <v>20</v>
      </c>
      <c r="B476">
        <v>155</v>
      </c>
    </row>
    <row r="477" spans="1:2">
      <c r="A477" t="s">
        <v>20</v>
      </c>
      <c r="B477">
        <v>132</v>
      </c>
    </row>
    <row r="478" spans="1:2">
      <c r="A478" t="s">
        <v>20</v>
      </c>
      <c r="B478">
        <v>1354</v>
      </c>
    </row>
    <row r="479" spans="1:2">
      <c r="A479" t="s">
        <v>20</v>
      </c>
      <c r="B479">
        <v>48</v>
      </c>
    </row>
    <row r="480" spans="1:2">
      <c r="A480" t="s">
        <v>20</v>
      </c>
      <c r="B480">
        <v>110</v>
      </c>
    </row>
    <row r="481" spans="1:2">
      <c r="A481" t="s">
        <v>20</v>
      </c>
      <c r="B481">
        <v>172</v>
      </c>
    </row>
    <row r="482" spans="1:2">
      <c r="A482" t="s">
        <v>20</v>
      </c>
      <c r="B482">
        <v>307</v>
      </c>
    </row>
    <row r="483" spans="1:2">
      <c r="A483" t="s">
        <v>20</v>
      </c>
      <c r="B483">
        <v>160</v>
      </c>
    </row>
    <row r="484" spans="1:2">
      <c r="A484" t="s">
        <v>20</v>
      </c>
      <c r="B484">
        <v>1467</v>
      </c>
    </row>
    <row r="485" spans="1:2">
      <c r="A485" t="s">
        <v>20</v>
      </c>
      <c r="B485">
        <v>2662</v>
      </c>
    </row>
    <row r="486" spans="1:2">
      <c r="A486" t="s">
        <v>20</v>
      </c>
      <c r="B486">
        <v>452</v>
      </c>
    </row>
    <row r="487" spans="1:2">
      <c r="A487" t="s">
        <v>20</v>
      </c>
      <c r="B487">
        <v>158</v>
      </c>
    </row>
    <row r="488" spans="1:2">
      <c r="A488" t="s">
        <v>20</v>
      </c>
      <c r="B488">
        <v>225</v>
      </c>
    </row>
    <row r="489" spans="1:2">
      <c r="A489" t="s">
        <v>20</v>
      </c>
      <c r="B489">
        <v>65</v>
      </c>
    </row>
    <row r="490" spans="1:2">
      <c r="A490" t="s">
        <v>20</v>
      </c>
      <c r="B490">
        <v>163</v>
      </c>
    </row>
    <row r="491" spans="1:2">
      <c r="A491" t="s">
        <v>20</v>
      </c>
      <c r="B491">
        <v>85</v>
      </c>
    </row>
    <row r="492" spans="1:2">
      <c r="A492" t="s">
        <v>20</v>
      </c>
      <c r="B492">
        <v>217</v>
      </c>
    </row>
    <row r="493" spans="1:2">
      <c r="A493" t="s">
        <v>20</v>
      </c>
      <c r="B493">
        <v>150</v>
      </c>
    </row>
    <row r="494" spans="1:2">
      <c r="A494" t="s">
        <v>20</v>
      </c>
      <c r="B494">
        <v>3272</v>
      </c>
    </row>
    <row r="495" spans="1:2">
      <c r="A495" t="s">
        <v>20</v>
      </c>
      <c r="B495">
        <v>300</v>
      </c>
    </row>
    <row r="496" spans="1:2">
      <c r="A496" t="s">
        <v>20</v>
      </c>
      <c r="B496">
        <v>126</v>
      </c>
    </row>
    <row r="497" spans="1:2">
      <c r="A497" t="s">
        <v>20</v>
      </c>
      <c r="B497">
        <v>2320</v>
      </c>
    </row>
    <row r="498" spans="1:2">
      <c r="A498" t="s">
        <v>20</v>
      </c>
      <c r="B498">
        <v>81</v>
      </c>
    </row>
    <row r="499" spans="1:2">
      <c r="A499" t="s">
        <v>20</v>
      </c>
      <c r="B499">
        <v>1887</v>
      </c>
    </row>
    <row r="500" spans="1:2">
      <c r="A500" t="s">
        <v>20</v>
      </c>
      <c r="B500">
        <v>4358</v>
      </c>
    </row>
    <row r="501" spans="1:2">
      <c r="A501" t="s">
        <v>20</v>
      </c>
      <c r="B501">
        <v>53</v>
      </c>
    </row>
    <row r="502" spans="1:2">
      <c r="A502" t="s">
        <v>20</v>
      </c>
      <c r="B502">
        <v>2414</v>
      </c>
    </row>
    <row r="503" spans="1:2">
      <c r="A503" t="s">
        <v>20</v>
      </c>
      <c r="B503">
        <v>80</v>
      </c>
    </row>
    <row r="504" spans="1:2">
      <c r="A504" t="s">
        <v>20</v>
      </c>
      <c r="B504">
        <v>193</v>
      </c>
    </row>
    <row r="505" spans="1:2">
      <c r="A505" t="s">
        <v>20</v>
      </c>
      <c r="B505">
        <v>52</v>
      </c>
    </row>
    <row r="506" spans="1:2">
      <c r="A506" t="s">
        <v>20</v>
      </c>
      <c r="B506">
        <v>290</v>
      </c>
    </row>
    <row r="507" spans="1:2">
      <c r="A507" t="s">
        <v>20</v>
      </c>
      <c r="B507">
        <v>122</v>
      </c>
    </row>
    <row r="508" spans="1:2">
      <c r="A508" t="s">
        <v>20</v>
      </c>
      <c r="B508">
        <v>1470</v>
      </c>
    </row>
    <row r="509" spans="1:2">
      <c r="A509" t="s">
        <v>20</v>
      </c>
      <c r="B509">
        <v>165</v>
      </c>
    </row>
    <row r="510" spans="1:2">
      <c r="A510" t="s">
        <v>20</v>
      </c>
      <c r="B510">
        <v>182</v>
      </c>
    </row>
    <row r="511" spans="1:2">
      <c r="A511" t="s">
        <v>20</v>
      </c>
      <c r="B511">
        <v>199</v>
      </c>
    </row>
    <row r="512" spans="1:2">
      <c r="A512" t="s">
        <v>20</v>
      </c>
      <c r="B512">
        <v>56</v>
      </c>
    </row>
    <row r="513" spans="1:2">
      <c r="A513" t="s">
        <v>20</v>
      </c>
      <c r="B513">
        <v>1460</v>
      </c>
    </row>
    <row r="514" spans="1:2">
      <c r="A514" t="s">
        <v>20</v>
      </c>
      <c r="B514">
        <v>123</v>
      </c>
    </row>
    <row r="515" spans="1:2">
      <c r="A515" t="s">
        <v>20</v>
      </c>
      <c r="B515">
        <v>159</v>
      </c>
    </row>
    <row r="516" spans="1:2">
      <c r="A516" t="s">
        <v>20</v>
      </c>
      <c r="B516">
        <v>110</v>
      </c>
    </row>
    <row r="517" spans="1:2">
      <c r="A517" t="s">
        <v>20</v>
      </c>
      <c r="B517">
        <v>236</v>
      </c>
    </row>
    <row r="518" spans="1:2">
      <c r="A518" t="s">
        <v>20</v>
      </c>
      <c r="B518">
        <v>191</v>
      </c>
    </row>
    <row r="519" spans="1:2">
      <c r="A519" t="s">
        <v>20</v>
      </c>
      <c r="B519">
        <v>3934</v>
      </c>
    </row>
    <row r="520" spans="1:2">
      <c r="A520" t="s">
        <v>20</v>
      </c>
      <c r="B520">
        <v>80</v>
      </c>
    </row>
    <row r="521" spans="1:2">
      <c r="A521" t="s">
        <v>20</v>
      </c>
      <c r="B521">
        <v>462</v>
      </c>
    </row>
    <row r="522" spans="1:2">
      <c r="A522" t="s">
        <v>20</v>
      </c>
      <c r="B522">
        <v>179</v>
      </c>
    </row>
    <row r="523" spans="1:2">
      <c r="A523" t="s">
        <v>20</v>
      </c>
      <c r="B523">
        <v>1866</v>
      </c>
    </row>
    <row r="524" spans="1:2">
      <c r="A524" t="s">
        <v>20</v>
      </c>
      <c r="B524">
        <v>156</v>
      </c>
    </row>
    <row r="525" spans="1:2">
      <c r="A525" t="s">
        <v>20</v>
      </c>
      <c r="B525">
        <v>255</v>
      </c>
    </row>
    <row r="526" spans="1:2">
      <c r="A526" t="s">
        <v>20</v>
      </c>
      <c r="B526">
        <v>2261</v>
      </c>
    </row>
    <row r="527" spans="1:2">
      <c r="A527" t="s">
        <v>20</v>
      </c>
      <c r="B527">
        <v>40</v>
      </c>
    </row>
    <row r="528" spans="1:2">
      <c r="A528" t="s">
        <v>20</v>
      </c>
      <c r="B528">
        <v>2289</v>
      </c>
    </row>
    <row r="529" spans="1:2">
      <c r="A529" t="s">
        <v>20</v>
      </c>
      <c r="B529">
        <v>65</v>
      </c>
    </row>
    <row r="530" spans="1:2">
      <c r="A530" t="s">
        <v>20</v>
      </c>
      <c r="B530">
        <v>3777</v>
      </c>
    </row>
    <row r="531" spans="1:2">
      <c r="A531" t="s">
        <v>20</v>
      </c>
      <c r="B531">
        <v>184</v>
      </c>
    </row>
    <row r="532" spans="1:2">
      <c r="A532" t="s">
        <v>20</v>
      </c>
      <c r="B532">
        <v>85</v>
      </c>
    </row>
    <row r="533" spans="1:2">
      <c r="A533" t="s">
        <v>20</v>
      </c>
      <c r="B533">
        <v>144</v>
      </c>
    </row>
    <row r="534" spans="1:2">
      <c r="A534" t="s">
        <v>20</v>
      </c>
      <c r="B534">
        <v>1902</v>
      </c>
    </row>
    <row r="535" spans="1:2">
      <c r="A535" t="s">
        <v>20</v>
      </c>
      <c r="B535">
        <v>105</v>
      </c>
    </row>
    <row r="536" spans="1:2">
      <c r="A536" t="s">
        <v>20</v>
      </c>
      <c r="B536">
        <v>132</v>
      </c>
    </row>
    <row r="537" spans="1:2">
      <c r="A537" t="s">
        <v>20</v>
      </c>
      <c r="B537">
        <v>96</v>
      </c>
    </row>
    <row r="538" spans="1:2">
      <c r="A538" t="s">
        <v>20</v>
      </c>
      <c r="B538">
        <v>114</v>
      </c>
    </row>
    <row r="539" spans="1:2">
      <c r="A539" t="s">
        <v>20</v>
      </c>
      <c r="B539">
        <v>203</v>
      </c>
    </row>
    <row r="540" spans="1:2">
      <c r="A540" t="s">
        <v>20</v>
      </c>
      <c r="B540">
        <v>1559</v>
      </c>
    </row>
    <row r="541" spans="1:2">
      <c r="A541" t="s">
        <v>20</v>
      </c>
      <c r="B541">
        <v>1548</v>
      </c>
    </row>
    <row r="542" spans="1:2">
      <c r="A542" t="s">
        <v>20</v>
      </c>
      <c r="B542">
        <v>80</v>
      </c>
    </row>
    <row r="543" spans="1:2">
      <c r="A543" t="s">
        <v>20</v>
      </c>
      <c r="B543">
        <v>131</v>
      </c>
    </row>
    <row r="544" spans="1:2">
      <c r="A544" t="s">
        <v>20</v>
      </c>
      <c r="B544">
        <v>112</v>
      </c>
    </row>
    <row r="545" spans="1:2">
      <c r="A545" t="s">
        <v>20</v>
      </c>
      <c r="B545">
        <v>155</v>
      </c>
    </row>
    <row r="546" spans="1:2">
      <c r="A546" t="s">
        <v>20</v>
      </c>
      <c r="B546">
        <v>266</v>
      </c>
    </row>
    <row r="547" spans="1:2">
      <c r="A547" t="s">
        <v>20</v>
      </c>
      <c r="B547">
        <v>155</v>
      </c>
    </row>
    <row r="548" spans="1:2">
      <c r="A548" t="s">
        <v>20</v>
      </c>
      <c r="B548">
        <v>207</v>
      </c>
    </row>
    <row r="549" spans="1:2">
      <c r="A549" t="s">
        <v>20</v>
      </c>
      <c r="B549">
        <v>245</v>
      </c>
    </row>
    <row r="550" spans="1:2">
      <c r="A550" t="s">
        <v>20</v>
      </c>
      <c r="B550">
        <v>1573</v>
      </c>
    </row>
    <row r="551" spans="1:2">
      <c r="A551" t="s">
        <v>20</v>
      </c>
      <c r="B551">
        <v>114</v>
      </c>
    </row>
    <row r="552" spans="1:2">
      <c r="A552" t="s">
        <v>20</v>
      </c>
      <c r="B552">
        <v>93</v>
      </c>
    </row>
    <row r="553" spans="1:2">
      <c r="A553" t="s">
        <v>20</v>
      </c>
      <c r="B553">
        <v>1681</v>
      </c>
    </row>
    <row r="554" spans="1:2">
      <c r="A554" t="s">
        <v>20</v>
      </c>
      <c r="B554">
        <v>32</v>
      </c>
    </row>
    <row r="555" spans="1:2">
      <c r="A555" t="s">
        <v>20</v>
      </c>
      <c r="B555">
        <v>135</v>
      </c>
    </row>
    <row r="556" spans="1:2">
      <c r="A556" t="s">
        <v>20</v>
      </c>
      <c r="B556">
        <v>140</v>
      </c>
    </row>
    <row r="557" spans="1:2">
      <c r="A557" t="s">
        <v>20</v>
      </c>
      <c r="B557">
        <v>92</v>
      </c>
    </row>
    <row r="558" spans="1:2">
      <c r="A558" t="s">
        <v>20</v>
      </c>
      <c r="B558">
        <v>1015</v>
      </c>
    </row>
    <row r="559" spans="1:2">
      <c r="A559" t="s">
        <v>20</v>
      </c>
      <c r="B559">
        <v>323</v>
      </c>
    </row>
    <row r="560" spans="1:2">
      <c r="A560" t="s">
        <v>20</v>
      </c>
      <c r="B560">
        <v>2326</v>
      </c>
    </row>
    <row r="561" spans="1:2">
      <c r="A561" t="s">
        <v>20</v>
      </c>
      <c r="B561">
        <v>381</v>
      </c>
    </row>
    <row r="562" spans="1:2">
      <c r="A562" t="s">
        <v>20</v>
      </c>
      <c r="B562">
        <v>480</v>
      </c>
    </row>
    <row r="563" spans="1:2">
      <c r="A563" t="s">
        <v>20</v>
      </c>
      <c r="B563">
        <v>226</v>
      </c>
    </row>
    <row r="564" spans="1:2">
      <c r="A564" t="s">
        <v>20</v>
      </c>
      <c r="B564">
        <v>241</v>
      </c>
    </row>
    <row r="565" spans="1:2">
      <c r="A565" t="s">
        <v>20</v>
      </c>
      <c r="B565">
        <v>132</v>
      </c>
    </row>
    <row r="566" spans="1:2">
      <c r="A566" t="s">
        <v>20</v>
      </c>
      <c r="B566">
        <v>2043</v>
      </c>
    </row>
  </sheetData>
  <conditionalFormatting sqref="D1">
    <cfRule type="cellIs" dxfId="13" priority="9" operator="equal">
      <formula>"canceled"</formula>
    </cfRule>
    <cfRule type="cellIs" dxfId="12" priority="10" operator="equal">
      <formula>"live"</formula>
    </cfRule>
    <cfRule type="cellIs" dxfId="11" priority="11" operator="equal">
      <formula>"successful"</formula>
    </cfRule>
    <cfRule type="cellIs" dxfId="10" priority="12" operator="equal">
      <formula>"failed"</formula>
    </cfRule>
  </conditionalFormatting>
  <conditionalFormatting sqref="A1">
    <cfRule type="cellIs" dxfId="9" priority="5" operator="equal">
      <formula>"canceled"</formula>
    </cfRule>
    <cfRule type="cellIs" dxfId="8" priority="6" operator="equal">
      <formula>"live"</formula>
    </cfRule>
    <cfRule type="cellIs" dxfId="7" priority="7" operator="equal">
      <formula>"successful"</formula>
    </cfRule>
    <cfRule type="cellIs" dxfId="6" priority="8" operator="equal">
      <formula>"failed"</formula>
    </cfRule>
  </conditionalFormatting>
  <conditionalFormatting sqref="A1">
    <cfRule type="cellIs" dxfId="5" priority="4" operator="equal">
      <formula>"successful"</formula>
    </cfRule>
  </conditionalFormatting>
  <conditionalFormatting sqref="D1">
    <cfRule type="cellIs" dxfId="4" priority="3" operator="equal">
      <formula>"failed"</formula>
    </cfRule>
  </conditionalFormatting>
  <conditionalFormatting sqref="A1:E1048576">
    <cfRule type="cellIs" dxfId="3" priority="2" operator="equal">
      <formula>"successful"</formula>
    </cfRule>
    <cfRule type="cellIs" dxfId="2" priority="1" operator="equal">
      <formula>"failed"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Crowdfunding</vt:lpstr>
      <vt:lpstr>based on parent category</vt:lpstr>
      <vt:lpstr>based on sub-category</vt:lpstr>
      <vt:lpstr>based on country</vt:lpstr>
      <vt:lpstr>based on date</vt:lpstr>
      <vt:lpstr>Crowdfunding Goal Analysis</vt:lpstr>
      <vt:lpstr>Statistical Analysis</vt:lpstr>
      <vt:lpstr>backers_count</vt:lpstr>
      <vt:lpstr>backers_fail</vt:lpstr>
      <vt:lpstr>backers_success</vt:lpstr>
      <vt:lpstr>goal</vt:lpstr>
      <vt:lpstr>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Jungje Son</cp:lastModifiedBy>
  <dcterms:created xsi:type="dcterms:W3CDTF">2021-09-29T18:52:28Z</dcterms:created>
  <dcterms:modified xsi:type="dcterms:W3CDTF">2023-07-02T00:03:25Z</dcterms:modified>
</cp:coreProperties>
</file>